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 Vlookup\"/>
    </mc:Choice>
  </mc:AlternateContent>
  <xr:revisionPtr revIDLastSave="0" documentId="13_ncr:1_{BE9154E1-5C99-41D9-99C2-63AB1A303B65}" xr6:coauthVersionLast="47" xr6:coauthVersionMax="47" xr10:uidLastSave="{00000000-0000-0000-0000-000000000000}"/>
  <bookViews>
    <workbookView xWindow="-108" yWindow="-108" windowWidth="23256" windowHeight="13176" firstSheet="17" activeTab="21" xr2:uid="{00000000-000D-0000-FFFF-FFFF00000000}"/>
  </bookViews>
  <sheets>
    <sheet name="Excel Tutorial" sheetId="1" r:id="rId1"/>
    <sheet name="1- Introduction Vlookup" sheetId="2" r:id="rId2"/>
    <sheet name="2- Range Lookup" sheetId="3" r:id="rId3"/>
    <sheet name="3- IF Error Vlookup" sheetId="4" r:id="rId4"/>
    <sheet name="4 - Nested Vlookup" sheetId="5" r:id="rId5"/>
    <sheet name="5- Filter Using Vlookup" sheetId="6" r:id="rId6"/>
    <sheet name="6 - Double Vlookup" sheetId="7" r:id="rId7"/>
    <sheet name="7 - Multi Table V-Lookup" sheetId="8" r:id="rId8"/>
    <sheet name="8 - Multi Sheet Vlookup" sheetId="9" r:id="rId9"/>
    <sheet name="DATA1" sheetId="10" r:id="rId10"/>
    <sheet name="DATA2" sheetId="11" r:id="rId11"/>
    <sheet name="DATA3" sheetId="12" r:id="rId12"/>
    <sheet name="8 - Vlookup on Workbook" sheetId="13" r:id="rId13"/>
    <sheet name="8 - Vlookup Interview Question" sheetId="14" r:id="rId14"/>
    <sheet name="New Data" sheetId="15" r:id="rId15"/>
    <sheet name="9 - Reverse Lookup with Choose" sheetId="16" r:id="rId16"/>
    <sheet name="10 - R-Lookup Index Match" sheetId="17" r:id="rId17"/>
    <sheet name="11 - Vlookup + Match" sheetId="18" r:id="rId18"/>
    <sheet name=" Backupdata" sheetId="19" r:id="rId19"/>
    <sheet name="12 - Vlookup with Find" sheetId="20" r:id="rId20"/>
    <sheet name="13 - 2 Lookups Value" sheetId="21" r:id="rId21"/>
    <sheet name="14 - Vlookup Twist" sheetId="22" r:id="rId22"/>
    <sheet name="15 - Use Vlookup to Create MIS " sheetId="23" r:id="rId23"/>
  </sheets>
  <definedNames>
    <definedName name="_xlnm._FilterDatabase" localSheetId="13" hidden="1">'8 - Vlookup Interview Question'!$A$1:$B$9</definedName>
    <definedName name="COURSED">'13 - 2 Lookups Value'!$A$1:$D$8</definedName>
    <definedName name="Data1">'7 - Multi Table V-Lookup'!$A$3:$C$14</definedName>
    <definedName name="Data2">'7 - Multi Table V-Lookup'!$E$3:$G$14</definedName>
    <definedName name="Data3">'7 - Multi Table V-Lookup'!$I$3:$K$14</definedName>
    <definedName name="list1">'1- Introduction Vlookup'!$A:$E</definedName>
    <definedName name="List2">'3- IF Error Vlookup'!$A:$E</definedName>
    <definedName name="list3">'4 - Nested Vlookup'!$A$1:$B$11</definedName>
    <definedName name="list4">'4 - Nested Vlookup'!$D$1:$H$11</definedName>
    <definedName name="list5">'6 - Double Vlookup'!$A$1:$F$11</definedName>
    <definedName name="list6">'6 - Double Vlookup'!$B$1:$F$11</definedName>
    <definedName name="location">'New Data'!$A$1:$B$4</definedName>
    <definedName name="monthdata">' Backupdata'!$A$1:$M$7</definedName>
    <definedName name="Monthlist">' Backupdata'!$A$1:$M$1</definedName>
    <definedName name="PRICE">'12 - Vlookup with Find'!$A$1:$D$13</definedName>
    <definedName name="ProductT">DATA1!$A$2:$B$12</definedName>
    <definedName name="Qty">DATA2!$A$2:$B$12</definedName>
    <definedName name="Target">'2- Range Lookup'!$I$1:$J$5</definedName>
    <definedName name="Zone">'2- Range Lookup'!$I$8:$J$11</definedName>
    <definedName name="ZoneT">DATA3!$A$2:$B$12</definedName>
  </definedNames>
  <calcPr calcId="191029"/>
</workbook>
</file>

<file path=xl/calcChain.xml><?xml version="1.0" encoding="utf-8"?>
<calcChain xmlns="http://schemas.openxmlformats.org/spreadsheetml/2006/main">
  <c r="H18" i="20" l="1"/>
  <c r="H19" i="20"/>
  <c r="H20" i="20"/>
  <c r="H21" i="20"/>
  <c r="H22" i="20"/>
  <c r="H23" i="20"/>
  <c r="H24" i="20"/>
  <c r="H25" i="20"/>
  <c r="H26" i="20"/>
  <c r="H27" i="20"/>
  <c r="H28" i="20"/>
  <c r="H17" i="20"/>
  <c r="C11" i="18"/>
  <c r="C12" i="18"/>
  <c r="C13" i="18"/>
  <c r="C14" i="18"/>
  <c r="C15" i="18"/>
  <c r="C10" i="18"/>
  <c r="B11" i="18"/>
  <c r="B12" i="18"/>
  <c r="B13" i="18"/>
  <c r="B14" i="18"/>
  <c r="B15" i="18"/>
  <c r="B10" i="18"/>
  <c r="D10" i="18"/>
  <c r="I19" i="8"/>
  <c r="I18" i="8"/>
  <c r="F29" i="7" a="1"/>
  <c r="F29" i="7" s="1"/>
  <c r="F30" i="7" s="1" a="1"/>
  <c r="F30" i="7" s="1"/>
  <c r="F31" i="7" s="1" a="1"/>
  <c r="F31" i="7" s="1"/>
  <c r="F32" i="7" s="1" a="1"/>
  <c r="F32" i="7" s="1"/>
  <c r="F33" i="7" s="1" a="1"/>
  <c r="F33" i="7" s="1"/>
  <c r="F34" i="7" s="1" a="1"/>
  <c r="F34" i="7" s="1"/>
  <c r="F35" i="7" s="1" a="1"/>
  <c r="F35" i="7" s="1"/>
  <c r="F36" i="7" s="1" a="1"/>
  <c r="F36" i="7" s="1"/>
  <c r="F28" i="7" a="1"/>
  <c r="F28" i="7"/>
  <c r="F27" i="7"/>
  <c r="A16" i="6" l="1"/>
  <c r="A17" i="6"/>
  <c r="A18" i="6"/>
  <c r="A19" i="6"/>
  <c r="A20" i="6"/>
  <c r="A21" i="6"/>
  <c r="A22" i="6"/>
  <c r="A23" i="6"/>
  <c r="A24" i="6"/>
  <c r="A15" i="6"/>
  <c r="F17" i="5"/>
  <c r="G17" i="5"/>
  <c r="H17" i="5"/>
  <c r="E17" i="5"/>
  <c r="E18" i="5"/>
  <c r="I5" i="4"/>
  <c r="J5" i="4"/>
  <c r="K5" i="4"/>
  <c r="H5" i="4"/>
  <c r="H6" i="4"/>
  <c r="G15" i="3"/>
  <c r="G16" i="3"/>
  <c r="G17" i="3"/>
  <c r="G18" i="3"/>
  <c r="G19" i="3"/>
  <c r="G20" i="3"/>
  <c r="G21" i="3"/>
  <c r="G22" i="3"/>
  <c r="G23" i="3"/>
  <c r="G14" i="3"/>
  <c r="F15" i="3"/>
  <c r="F16" i="3"/>
  <c r="F17" i="3"/>
  <c r="F18" i="3"/>
  <c r="F19" i="3"/>
  <c r="F20" i="3"/>
  <c r="F21" i="3"/>
  <c r="F22" i="3"/>
  <c r="F23" i="3"/>
  <c r="F14" i="3"/>
  <c r="I20" i="2"/>
  <c r="J20" i="2"/>
  <c r="K20" i="2"/>
  <c r="H20" i="2"/>
  <c r="J3" i="2"/>
  <c r="I12" i="2"/>
  <c r="I6" i="2"/>
  <c r="I3" i="2"/>
  <c r="I2" i="23" a="1"/>
  <c r="I2" i="23" s="1"/>
  <c r="H2" i="23" a="1"/>
  <c r="H2" i="23" s="1"/>
  <c r="J14" i="22" a="1"/>
  <c r="J14" i="22" s="1"/>
  <c r="I10" i="22" a="1"/>
  <c r="I10" i="22" s="1"/>
  <c r="I6" i="22" a="1"/>
  <c r="I6" i="22" s="1"/>
  <c r="A8" i="21"/>
  <c r="A7" i="21"/>
  <c r="A6" i="21"/>
  <c r="A5" i="21"/>
  <c r="A4" i="21"/>
  <c r="A3" i="21"/>
  <c r="H2" i="21"/>
  <c r="A2" i="21"/>
  <c r="J13" i="20"/>
  <c r="I13" i="20"/>
  <c r="H13" i="20"/>
  <c r="J12" i="20"/>
  <c r="I12" i="20"/>
  <c r="H12" i="20"/>
  <c r="J11" i="20"/>
  <c r="I11" i="20"/>
  <c r="H11" i="20"/>
  <c r="J10" i="20"/>
  <c r="I10" i="20"/>
  <c r="H10" i="20"/>
  <c r="J9" i="20"/>
  <c r="I9" i="20"/>
  <c r="H9" i="20"/>
  <c r="J8" i="20"/>
  <c r="I8" i="20"/>
  <c r="H8" i="20"/>
  <c r="J7" i="20"/>
  <c r="I7" i="20"/>
  <c r="H7" i="20"/>
  <c r="J6" i="20"/>
  <c r="I6" i="20"/>
  <c r="H6" i="20"/>
  <c r="J5" i="20"/>
  <c r="I5" i="20"/>
  <c r="H5" i="20"/>
  <c r="J4" i="20"/>
  <c r="I4" i="20"/>
  <c r="H4" i="20"/>
  <c r="J3" i="20"/>
  <c r="I3" i="20"/>
  <c r="H3" i="20"/>
  <c r="J2" i="20"/>
  <c r="I2" i="20"/>
  <c r="H2" i="20"/>
  <c r="B7" i="18"/>
  <c r="B6" i="18"/>
  <c r="B5" i="18"/>
  <c r="B4" i="18"/>
  <c r="B3" i="18"/>
  <c r="D2" i="18"/>
  <c r="B2" i="18"/>
  <c r="K6" i="17"/>
  <c r="I6" i="17"/>
  <c r="K5" i="17"/>
  <c r="I5" i="17"/>
  <c r="K4" i="17"/>
  <c r="I4" i="17"/>
  <c r="K3" i="17"/>
  <c r="I3" i="17"/>
  <c r="J2" i="17"/>
  <c r="H6" i="16"/>
  <c r="H5" i="16"/>
  <c r="H4" i="16"/>
  <c r="H3" i="16"/>
  <c r="B8" i="14"/>
  <c r="B6" i="14"/>
  <c r="B4" i="14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D3" i="9"/>
  <c r="C3" i="9"/>
  <c r="B3" i="9"/>
  <c r="F19" i="8"/>
  <c r="F18" i="8"/>
  <c r="I8" i="7"/>
  <c r="I7" i="7"/>
  <c r="I6" i="7"/>
  <c r="I5" i="7"/>
  <c r="A11" i="6"/>
  <c r="A10" i="6"/>
  <c r="A9" i="6"/>
  <c r="A8" i="6"/>
  <c r="A7" i="6"/>
  <c r="A6" i="6"/>
  <c r="A5" i="6"/>
  <c r="A4" i="6"/>
  <c r="A3" i="6"/>
  <c r="I8" i="6" s="1"/>
  <c r="A2" i="6"/>
  <c r="G6" i="6" s="1"/>
  <c r="H14" i="5"/>
  <c r="G14" i="5"/>
  <c r="F14" i="5"/>
  <c r="E14" i="5"/>
  <c r="K2" i="4"/>
  <c r="J2" i="4"/>
  <c r="I2" i="4"/>
  <c r="H2" i="4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H15" i="2"/>
  <c r="H14" i="2"/>
  <c r="H13" i="2"/>
  <c r="H12" i="2"/>
  <c r="H9" i="2"/>
  <c r="H8" i="2"/>
  <c r="H7" i="2"/>
  <c r="L6" i="2"/>
  <c r="H6" i="2"/>
  <c r="L5" i="2"/>
  <c r="K2" i="2"/>
  <c r="J2" i="2"/>
  <c r="I2" i="2"/>
  <c r="H2" i="2"/>
  <c r="I10" i="6" l="1"/>
  <c r="H10" i="6"/>
  <c r="G10" i="6"/>
  <c r="I9" i="6"/>
  <c r="H9" i="6"/>
  <c r="I11" i="6"/>
  <c r="G9" i="6"/>
  <c r="H11" i="6"/>
  <c r="G11" i="6"/>
  <c r="H8" i="6"/>
  <c r="G8" i="6"/>
  <c r="I7" i="6"/>
  <c r="H7" i="6"/>
  <c r="G7" i="6"/>
  <c r="I6" i="6"/>
  <c r="H6" i="6"/>
  <c r="H6" i="23"/>
  <c r="H5" i="23"/>
  <c r="H4" i="23"/>
  <c r="H3" i="23"/>
  <c r="I6" i="23"/>
  <c r="I5" i="23"/>
  <c r="I4" i="23"/>
  <c r="I3" i="23"/>
  <c r="G5" i="6"/>
  <c r="H5" i="6"/>
  <c r="I5" i="6"/>
</calcChain>
</file>

<file path=xl/sharedStrings.xml><?xml version="1.0" encoding="utf-8"?>
<sst xmlns="http://schemas.openxmlformats.org/spreadsheetml/2006/main" count="789" uniqueCount="197">
  <si>
    <t>Clic Here to Visit Channel</t>
  </si>
  <si>
    <t xml:space="preserve">Visit Our Computer Courses Website </t>
  </si>
  <si>
    <t>Salesman ID</t>
  </si>
  <si>
    <t>Salesman</t>
  </si>
  <si>
    <t>Product</t>
  </si>
  <si>
    <t>Zone</t>
  </si>
  <si>
    <t>Sales</t>
  </si>
  <si>
    <t>Shaktimaan</t>
  </si>
  <si>
    <t>Iodex</t>
  </si>
  <si>
    <t>South City</t>
  </si>
  <si>
    <t>Ironman</t>
  </si>
  <si>
    <t>Tigerbalm</t>
  </si>
  <si>
    <t>North City</t>
  </si>
  <si>
    <t>Superman</t>
  </si>
  <si>
    <t>Toothpaste</t>
  </si>
  <si>
    <t>West City</t>
  </si>
  <si>
    <t>Thor</t>
  </si>
  <si>
    <t>Toothbrush</t>
  </si>
  <si>
    <t>Batman</t>
  </si>
  <si>
    <t>Spiderman</t>
  </si>
  <si>
    <t>Antman</t>
  </si>
  <si>
    <t>Hitman</t>
  </si>
  <si>
    <t>Zandubalm</t>
  </si>
  <si>
    <t>Ratman</t>
  </si>
  <si>
    <t>Netman</t>
  </si>
  <si>
    <t>Performance</t>
  </si>
  <si>
    <t>Area Code</t>
  </si>
  <si>
    <t>Traget</t>
  </si>
  <si>
    <t>Poor</t>
  </si>
  <si>
    <t>Average</t>
  </si>
  <si>
    <t>Good</t>
  </si>
  <si>
    <t>Best</t>
  </si>
  <si>
    <t>Product ID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</si>
  <si>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</si>
  <si>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</si>
  <si>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</si>
  <si>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</si>
  <si>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</si>
  <si>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</si>
  <si>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</si>
  <si>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</si>
  <si>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</si>
  <si>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Pr1010</t>
  </si>
  <si>
    <t>Unique Product</t>
  </si>
  <si>
    <t>Bill No</t>
  </si>
  <si>
    <t>LM-001</t>
  </si>
  <si>
    <t>LM-002</t>
  </si>
  <si>
    <t>LM-003</t>
  </si>
  <si>
    <t>LM-004</t>
  </si>
  <si>
    <t>LM-005</t>
  </si>
  <si>
    <t>LM-006</t>
  </si>
  <si>
    <t>LM-007</t>
  </si>
  <si>
    <t>LM-008</t>
  </si>
  <si>
    <t>LM-009</t>
  </si>
  <si>
    <t>LM-010</t>
  </si>
  <si>
    <t>Vlookup on Multiple Table/Sheets</t>
  </si>
  <si>
    <t>Data1</t>
  </si>
  <si>
    <t>Data2</t>
  </si>
  <si>
    <t>Data3</t>
  </si>
  <si>
    <t>Bill No.</t>
  </si>
  <si>
    <t>Quantity</t>
  </si>
  <si>
    <t>Keyboard</t>
  </si>
  <si>
    <t>LED</t>
  </si>
  <si>
    <t>LCD</t>
  </si>
  <si>
    <t>Mouse</t>
  </si>
  <si>
    <t>Headphone</t>
  </si>
  <si>
    <t>Pendrive</t>
  </si>
  <si>
    <t>HDD</t>
  </si>
  <si>
    <t>SSD</t>
  </si>
  <si>
    <t>Enter Bill No.</t>
  </si>
  <si>
    <t>Vlookup on Multiple Sheets</t>
  </si>
  <si>
    <t>South</t>
  </si>
  <si>
    <t>West</t>
  </si>
  <si>
    <t>East</t>
  </si>
  <si>
    <t>North</t>
  </si>
  <si>
    <t>Vlookup on Multiple Workbook</t>
  </si>
  <si>
    <t>Company Name</t>
  </si>
  <si>
    <t>Location</t>
  </si>
  <si>
    <t>Reliance Co.</t>
  </si>
  <si>
    <t>Mumbai</t>
  </si>
  <si>
    <t>Tata Co.</t>
  </si>
  <si>
    <t>Delhi</t>
  </si>
  <si>
    <t>Ganesh Pvt. LTD</t>
  </si>
  <si>
    <t>Raj Infotech</t>
  </si>
  <si>
    <t>Nagpur</t>
  </si>
  <si>
    <t>Sachin Traders</t>
  </si>
  <si>
    <t>Adani Group</t>
  </si>
  <si>
    <t>Pune</t>
  </si>
  <si>
    <t>Sanghani Brothers</t>
  </si>
  <si>
    <t>Vishal Motors</t>
  </si>
  <si>
    <t>Chennai</t>
  </si>
  <si>
    <t>Surat</t>
  </si>
  <si>
    <t>CHOOSE FORMULA</t>
  </si>
  <si>
    <t>INDEX AND MATCH</t>
  </si>
  <si>
    <t>row</t>
  </si>
  <si>
    <t>column</t>
  </si>
  <si>
    <t>PRODUCT</t>
  </si>
  <si>
    <t>Dec</t>
  </si>
  <si>
    <t>KEYBOARD</t>
  </si>
  <si>
    <t>MOUSE</t>
  </si>
  <si>
    <t>MONITOR</t>
  </si>
  <si>
    <t>PENDRIVE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</si>
  <si>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</si>
  <si>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</si>
  <si>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</si>
  <si>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</si>
  <si>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</si>
  <si>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</si>
  <si>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</si>
  <si>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</si>
  <si>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</si>
  <si>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</si>
  <si>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</si>
  <si>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Branch</t>
  </si>
  <si>
    <t>Price</t>
  </si>
  <si>
    <t>1100012311,11234901,11</t>
  </si>
  <si>
    <t>1100-234</t>
  </si>
  <si>
    <t>1100-235</t>
  </si>
  <si>
    <t>1100012313,1123121,23</t>
  </si>
  <si>
    <t>Bangluru</t>
  </si>
  <si>
    <t>1100-236</t>
  </si>
  <si>
    <t>Bhopal</t>
  </si>
  <si>
    <t>1100-324</t>
  </si>
  <si>
    <t>1100-453</t>
  </si>
  <si>
    <t>1100012316,234,3</t>
  </si>
  <si>
    <t>1100-568</t>
  </si>
  <si>
    <t>1100012317,0</t>
  </si>
  <si>
    <t>1100-230</t>
  </si>
  <si>
    <t>1520, 1100012318</t>
  </si>
  <si>
    <t>1100-987</t>
  </si>
  <si>
    <t>1100-345</t>
  </si>
  <si>
    <t>1100012320,345,90</t>
  </si>
  <si>
    <t>1100-090</t>
  </si>
  <si>
    <t>85,1100012321,89</t>
  </si>
  <si>
    <t>Ghaziabad</t>
  </si>
  <si>
    <t>1100-212</t>
  </si>
  <si>
    <t>1100012322,90,76777</t>
  </si>
  <si>
    <t>1100-467</t>
  </si>
  <si>
    <t>Support</t>
  </si>
  <si>
    <t>Name</t>
  </si>
  <si>
    <t>Course</t>
  </si>
  <si>
    <t>Paid Fees</t>
  </si>
  <si>
    <t>Ajay Sharma</t>
  </si>
  <si>
    <t>Tally</t>
  </si>
  <si>
    <t>Vikas Singh</t>
  </si>
  <si>
    <t>Excel</t>
  </si>
  <si>
    <t>Raj Jadhav</t>
  </si>
  <si>
    <t>Anil Kumar</t>
  </si>
  <si>
    <t>FirstName</t>
  </si>
  <si>
    <t>LastName</t>
  </si>
  <si>
    <t>TotalSalary</t>
  </si>
  <si>
    <t>Solve these queries using Vlookup</t>
  </si>
  <si>
    <t>Ravi</t>
  </si>
  <si>
    <t>Singh</t>
  </si>
  <si>
    <t>Verma</t>
  </si>
  <si>
    <t>Tiwari</t>
  </si>
  <si>
    <t>Pandey</t>
  </si>
  <si>
    <t>Q.1</t>
  </si>
  <si>
    <t>Total Salary</t>
  </si>
  <si>
    <t>Shankar</t>
  </si>
  <si>
    <t>Singhaniya</t>
  </si>
  <si>
    <t>Ravi Singh</t>
  </si>
  <si>
    <t>Kumar</t>
  </si>
  <si>
    <t>Q.2</t>
  </si>
  <si>
    <t>Rajesh</t>
  </si>
  <si>
    <t>RajeshKumar</t>
  </si>
  <si>
    <t>Q.3</t>
  </si>
  <si>
    <t>Vikas</t>
  </si>
  <si>
    <t>Shukla</t>
  </si>
  <si>
    <t>Jadhav</t>
  </si>
  <si>
    <t>Year 2017</t>
  </si>
  <si>
    <t>Year 2018</t>
  </si>
  <si>
    <t>Year 2019</t>
  </si>
  <si>
    <t>Year 2020</t>
  </si>
  <si>
    <t>Vlookup Madhe lookup value ani table array lock pahije</t>
  </si>
  <si>
    <t xml:space="preserve">Kaha se table start hua hai woh 1 number column rakho </t>
  </si>
  <si>
    <t>col1</t>
  </si>
  <si>
    <t>col2</t>
  </si>
  <si>
    <t>HERE WE TOOK 2 COLUMN INDEX NUMBER BECAUSE SALESMAN IS IN 2ND COLUMN</t>
  </si>
  <si>
    <t>(VLOOKUP($D$17,list3,2,0)</t>
  </si>
  <si>
    <t>THIS FORMULA GIVES US THE PRODUCTID FROM 1ST TABLE</t>
  </si>
  <si>
    <t>(VLOOKUP(VLOOKUP($D$17,list3,2,0),list4,2,0)</t>
  </si>
  <si>
    <t>NOW THIS FORMULA IS LINKED TO SECOND TABLE SO IT BECOMES NESTED IF</t>
  </si>
  <si>
    <t>COUNTIF($B$15:B15,B15)</t>
  </si>
  <si>
    <t>FIRST CELL LOCK : THEN FIRST CELL DYNAMIC BECAUSE IT SHOULD GO DOWN ,FIRST CELL</t>
  </si>
  <si>
    <t>MATCH HAMESHA COLUMN NUMBER BATATA HAI</t>
  </si>
  <si>
    <t>REMEMBER ARRAY WITHOUT CTRL+SHIFT+ENTER SE NAHI CHALTA HAI</t>
  </si>
  <si>
    <t xml:space="preserve"> </t>
  </si>
  <si>
    <t>only one month data is available  that’s why match is used</t>
  </si>
  <si>
    <t xml:space="preserve">   </t>
  </si>
  <si>
    <t xml:space="preserve">Hyat 1st column hide ahe te unhide karta yeina </t>
  </si>
  <si>
    <t>VLOOKUP(F2&amp;G2,COURSED,4,0)</t>
  </si>
  <si>
    <t>ani hyt column madhe direct 4 lilay karan paid fees last column ahe so kay error yenar nahi</t>
  </si>
  <si>
    <t>VLOOKUP(H6,CHOOSE({1,2},A2:A15&amp;" "&amp;B2:B15,C2:C15),2,0)</t>
  </si>
  <si>
    <t xml:space="preserve">hita 2 lila karan first name ani last name he choose mule 1st column manun kaam karnar </t>
  </si>
  <si>
    <t>ani total salary he second column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</si>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</sst>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libri"/>
      <scheme val="minor"/>
    </font>
    <font>
      <sz val="11"/>
      <name val="Calibri"/>
    </font>
    <font>
      <b/>
      <u/>
      <sz val="11"/>
      <name val="Abadi"/>
    </font>
    <font>
      <sz val="11"/>
      <name val="Calibri"/>
    </font>
    <font>
      <b/>
      <u/>
      <sz val="11"/>
      <name val="Aharoni"/>
    </font>
    <font>
      <b/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1"/>
      <name val="Bahnschrift SemiBold"/>
    </font>
    <font>
      <b/>
      <sz val="14"/>
      <name val="TechnicBold"/>
    </font>
    <font>
      <b/>
      <sz val="18"/>
      <name val="Bahnschrift SemiBold"/>
    </font>
    <font>
      <sz val="18"/>
      <name val="Bahnschrift SemiBold"/>
    </font>
    <font>
      <b/>
      <u/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222A35"/>
        <bgColor rgb="FF222A35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rgb="FF2E75B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2E75B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5" fillId="3" borderId="13" xfId="0" applyFont="1" applyFill="1" applyBorder="1" applyAlignment="1">
      <alignment horizontal="center"/>
    </xf>
    <xf numFmtId="0" fontId="1" fillId="0" borderId="13" xfId="0" applyFont="1" applyBorder="1"/>
    <xf numFmtId="0" fontId="5" fillId="3" borderId="14" xfId="0" applyFont="1" applyFill="1" applyBorder="1" applyAlignment="1">
      <alignment horizontal="center"/>
    </xf>
    <xf numFmtId="0" fontId="1" fillId="3" borderId="13" xfId="0" applyFont="1" applyFill="1" applyBorder="1"/>
    <xf numFmtId="0" fontId="5" fillId="3" borderId="5" xfId="0" applyFont="1" applyFill="1" applyBorder="1" applyAlignment="1">
      <alignment horizontal="center"/>
    </xf>
    <xf numFmtId="0" fontId="1" fillId="4" borderId="5" xfId="0" applyFont="1" applyFill="1" applyBorder="1"/>
    <xf numFmtId="14" fontId="1" fillId="0" borderId="13" xfId="0" applyNumberFormat="1" applyFont="1" applyBorder="1"/>
    <xf numFmtId="0" fontId="1" fillId="3" borderId="5" xfId="0" applyFont="1" applyFill="1" applyBorder="1"/>
    <xf numFmtId="15" fontId="6" fillId="6" borderId="1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5" fontId="7" fillId="0" borderId="13" xfId="0" applyNumberFormat="1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5" fillId="8" borderId="13" xfId="0" applyFont="1" applyFill="1" applyBorder="1"/>
    <xf numFmtId="0" fontId="1" fillId="0" borderId="13" xfId="0" applyFont="1" applyBorder="1" applyAlignment="1">
      <alignment horizontal="left"/>
    </xf>
    <xf numFmtId="0" fontId="5" fillId="7" borderId="13" xfId="0" applyFont="1" applyFill="1" applyBorder="1"/>
    <xf numFmtId="0" fontId="8" fillId="0" borderId="13" xfId="0" applyFont="1" applyBorder="1"/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" fillId="0" borderId="13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3" fillId="0" borderId="0" xfId="0" applyFont="1"/>
    <xf numFmtId="0" fontId="13" fillId="13" borderId="0" xfId="0" applyFont="1" applyFill="1"/>
    <xf numFmtId="0" fontId="5" fillId="3" borderId="36" xfId="0" applyFont="1" applyFill="1" applyBorder="1" applyAlignment="1">
      <alignment horizontal="center"/>
    </xf>
    <xf numFmtId="0" fontId="0" fillId="14" borderId="36" xfId="0" applyFill="1" applyBorder="1"/>
    <xf numFmtId="0" fontId="5" fillId="15" borderId="36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" fillId="16" borderId="13" xfId="0" applyFont="1" applyFill="1" applyBorder="1"/>
    <xf numFmtId="0" fontId="1" fillId="16" borderId="19" xfId="0" applyFont="1" applyFill="1" applyBorder="1"/>
    <xf numFmtId="0" fontId="0" fillId="16" borderId="36" xfId="0" applyFill="1" applyBorder="1"/>
    <xf numFmtId="0" fontId="5" fillId="16" borderId="13" xfId="0" applyFont="1" applyFill="1" applyBorder="1" applyAlignment="1">
      <alignment horizontal="center"/>
    </xf>
    <xf numFmtId="0" fontId="15" fillId="0" borderId="22" xfId="0" applyFont="1" applyBorder="1"/>
    <xf numFmtId="0" fontId="16" fillId="0" borderId="0" xfId="0" applyFont="1"/>
    <xf numFmtId="0" fontId="17" fillId="0" borderId="0" xfId="0" applyFont="1"/>
    <xf numFmtId="0" fontId="13" fillId="17" borderId="0" xfId="0" applyFont="1" applyFill="1"/>
    <xf numFmtId="0" fontId="0" fillId="17" borderId="0" xfId="0" applyFill="1"/>
    <xf numFmtId="0" fontId="16" fillId="17" borderId="0" xfId="0" applyFont="1" applyFill="1"/>
    <xf numFmtId="0" fontId="0" fillId="18" borderId="0" xfId="0" applyFill="1"/>
    <xf numFmtId="0" fontId="5" fillId="19" borderId="13" xfId="0" applyFont="1" applyFill="1" applyBorder="1" applyAlignment="1">
      <alignment horizontal="center"/>
    </xf>
    <xf numFmtId="0" fontId="1" fillId="18" borderId="13" xfId="0" applyFont="1" applyFill="1" applyBorder="1"/>
    <xf numFmtId="0" fontId="13" fillId="18" borderId="0" xfId="0" applyFont="1" applyFill="1"/>
    <xf numFmtId="0" fontId="14" fillId="18" borderId="0" xfId="0" applyFont="1" applyFill="1"/>
    <xf numFmtId="0" fontId="1" fillId="18" borderId="19" xfId="0" applyFont="1" applyFill="1" applyBorder="1"/>
    <xf numFmtId="0" fontId="0" fillId="18" borderId="36" xfId="0" applyFill="1" applyBorder="1"/>
    <xf numFmtId="15" fontId="6" fillId="6" borderId="19" xfId="0" applyNumberFormat="1" applyFont="1" applyFill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0" fontId="0" fillId="0" borderId="36" xfId="0" applyBorder="1"/>
    <xf numFmtId="0" fontId="14" fillId="0" borderId="0" xfId="0" applyFont="1"/>
    <xf numFmtId="0" fontId="10" fillId="10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10" fillId="11" borderId="26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16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2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4" fillId="2" borderId="7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1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1" fillId="5" borderId="19" xfId="0" applyFont="1" applyFill="1" applyBorder="1" applyAlignment="1">
      <alignment horizontal="center"/>
    </xf>
    <xf numFmtId="0" fontId="1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Year 2017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'15 - Use Vlookup to Create MIS '!$G$3:$G$6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  <c:pt idx="3">
                  <c:v>Nagpur</c:v>
                </c:pt>
              </c:strCache>
            </c:strRef>
          </c:cat>
          <c:val>
            <c:numRef>
              <c:f>'15 - Use Vlookup to Create MIS '!$H$3:$H$6</c:f>
              <c:numCache>
                <c:formatCode>General</c:formatCode>
                <c:ptCount val="4"/>
                <c:pt idx="0">
                  <c:v>1087</c:v>
                </c:pt>
                <c:pt idx="1">
                  <c:v>1009</c:v>
                </c:pt>
                <c:pt idx="2">
                  <c:v>1460</c:v>
                </c:pt>
                <c:pt idx="3">
                  <c:v>1792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C2-4F12-A062-5DE4CAE48BEF}"/>
            </c:ext>
          </c:extLst>
        </c:ser>
        <c:ser>
          <c:idx val="1"/>
          <c:order val="1"/>
          <c:tx>
            <c:v>Year 2019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'15 - Use Vlookup to Create MIS '!$G$3:$G$6</c:f>
              <c:strCache>
                <c:ptCount val="4"/>
                <c:pt idx="0">
                  <c:v>Delhi</c:v>
                </c:pt>
                <c:pt idx="1">
                  <c:v>Mumbai</c:v>
                </c:pt>
                <c:pt idx="2">
                  <c:v>Pune</c:v>
                </c:pt>
                <c:pt idx="3">
                  <c:v>Nagpur</c:v>
                </c:pt>
              </c:strCache>
            </c:strRef>
          </c:cat>
          <c:val>
            <c:numRef>
              <c:f>'15 - Use Vlookup to Create MIS '!$I$3:$I$6</c:f>
              <c:numCache>
                <c:formatCode>General</c:formatCode>
                <c:ptCount val="4"/>
                <c:pt idx="0">
                  <c:v>1258</c:v>
                </c:pt>
                <c:pt idx="1">
                  <c:v>1669</c:v>
                </c:pt>
                <c:pt idx="2">
                  <c:v>1286</c:v>
                </c:pt>
                <c:pt idx="3">
                  <c:v>1629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0C2-4F12-A062-5DE4CAE48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5065259"/>
        <c:axId val="1956526944"/>
      </c:barChart>
      <c:catAx>
        <c:axId val="2065065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6526944"/>
        <c:crosses val="autoZero"/>
        <c:auto val="1"/>
        <c:lblAlgn val="ctr"/>
        <c:lblOffset val="100"/>
        <c:noMultiLvlLbl val="1"/>
      </c:catAx>
      <c:valAx>
        <c:axId val="1956526944"/>
        <c:scaling>
          <c:orientation val="minMax"/>
          <c:max val="2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506525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6452230971128613"/>
          <c:y val="4.2244823563721161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0</xdr:row>
      <xdr:rowOff>57150</xdr:rowOff>
    </xdr:from>
    <xdr:ext cx="895350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28575</xdr:rowOff>
    </xdr:from>
    <xdr:ext cx="1781175" cy="552450"/>
    <xdr:sp macro="" textlink="">
      <xdr:nvSpPr>
        <xdr:cNvPr id="3" name="Rounded Rectangular Callout 2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02405" y="416718"/>
          <a:ext cx="12251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4</xdr:col>
      <xdr:colOff>200025</xdr:colOff>
      <xdr:row>2</xdr:row>
      <xdr:rowOff>28575</xdr:rowOff>
    </xdr:from>
    <xdr:ext cx="2019300" cy="552450"/>
    <xdr:sp macro="" textlink="">
      <xdr:nvSpPr>
        <xdr:cNvPr id="4" name="Rounded Rectangular Callout 3" hidden="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640805" y="416718"/>
          <a:ext cx="12251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8</xdr:col>
      <xdr:colOff>200025</xdr:colOff>
      <xdr:row>2</xdr:row>
      <xdr:rowOff>28575</xdr:rowOff>
    </xdr:from>
    <xdr:ext cx="1333500" cy="552450"/>
    <xdr:sp macro="" textlink="">
      <xdr:nvSpPr>
        <xdr:cNvPr id="5" name="Rounded Rectangular Callout 4" hidden="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079205" y="416718"/>
          <a:ext cx="12251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28575</xdr:rowOff>
    </xdr:from>
    <xdr:ext cx="1133475" cy="552450"/>
    <xdr:sp macro="" textlink="">
      <xdr:nvSpPr>
        <xdr:cNvPr id="2" name="Rounded Rectangular Callout 1" hidden="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02405" y="35718"/>
          <a:ext cx="1159670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1</xdr:col>
      <xdr:colOff>200025</xdr:colOff>
      <xdr:row>0</xdr:row>
      <xdr:rowOff>28575</xdr:rowOff>
    </xdr:from>
    <xdr:ext cx="752475" cy="552450"/>
    <xdr:sp macro="" textlink="">
      <xdr:nvSpPr>
        <xdr:cNvPr id="3" name="Rounded Rectangular Callout 2" hidden="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02405" y="35718"/>
          <a:ext cx="6155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2</xdr:col>
      <xdr:colOff>200025</xdr:colOff>
      <xdr:row>0</xdr:row>
      <xdr:rowOff>28575</xdr:rowOff>
    </xdr:from>
    <xdr:ext cx="962025" cy="552450"/>
    <xdr:sp macro="" textlink="">
      <xdr:nvSpPr>
        <xdr:cNvPr id="4" name="Rounded Rectangular Callout 3" hidden="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02405" y="35718"/>
          <a:ext cx="1159670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28575</xdr:rowOff>
    </xdr:from>
    <xdr:ext cx="1133475" cy="552450"/>
    <xdr:sp macro="" textlink="">
      <xdr:nvSpPr>
        <xdr:cNvPr id="2" name="Rounded Rectangular Callout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02405" y="416718"/>
          <a:ext cx="1787128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28575</xdr:rowOff>
    </xdr:from>
    <xdr:ext cx="581025" cy="552450"/>
    <xdr:sp macro="" textlink="">
      <xdr:nvSpPr>
        <xdr:cNvPr id="2" name="Rounded Rectangular Callout 1" hidden="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202780" y="416718"/>
          <a:ext cx="20252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28575</xdr:rowOff>
    </xdr:from>
    <xdr:ext cx="1133475" cy="552450"/>
    <xdr:sp macro="" textlink="">
      <xdr:nvSpPr>
        <xdr:cNvPr id="3" name="Rounded Rectangular Callout 2" hidden="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6803230" y="416718"/>
          <a:ext cx="1368028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28575</xdr:rowOff>
    </xdr:from>
    <xdr:ext cx="1285875" cy="552450"/>
    <xdr:sp macro="" textlink="">
      <xdr:nvSpPr>
        <xdr:cNvPr id="2" name="Rounded Rectangular Callout 1" hidden="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02405" y="35718"/>
          <a:ext cx="1016795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1</xdr:col>
      <xdr:colOff>200025</xdr:colOff>
      <xdr:row>0</xdr:row>
      <xdr:rowOff>28575</xdr:rowOff>
    </xdr:from>
    <xdr:ext cx="733425" cy="552450"/>
    <xdr:sp macro="" textlink="">
      <xdr:nvSpPr>
        <xdr:cNvPr id="3" name="Rounded Rectangular Callout 2" hidden="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12005" y="35718"/>
          <a:ext cx="615553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  <xdr:oneCellAnchor>
    <xdr:from>
      <xdr:col>2</xdr:col>
      <xdr:colOff>200025</xdr:colOff>
      <xdr:row>0</xdr:row>
      <xdr:rowOff>28575</xdr:rowOff>
    </xdr:from>
    <xdr:ext cx="504825" cy="552450"/>
    <xdr:sp macro="" textlink="">
      <xdr:nvSpPr>
        <xdr:cNvPr id="4" name="Rounded Rectangular Callout 3" hidden="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1421605" y="35718"/>
          <a:ext cx="1016795" cy="535781"/>
        </a:xfrm>
        <a:prstGeom prst="wedgeRoundRectCallout">
          <a:avLst>
            <a:gd name="adj1" fmla="val -21321"/>
            <a:gd name="adj2" fmla="val 83611"/>
            <a:gd name="adj3" fmla="val 16667"/>
          </a:avLst>
        </a:prstGeom>
        <a:solidFill>
          <a:schemeClr val="accent1"/>
        </a:soli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Here You can see the Hidden Chart</a:t>
          </a: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4</xdr:row>
      <xdr:rowOff>85725</xdr:rowOff>
    </xdr:from>
    <xdr:ext cx="285750" cy="200025"/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778469" y="851338"/>
          <a:ext cx="289035" cy="201010"/>
        </a:xfrm>
        <a:prstGeom prst="rightArrow">
          <a:avLst/>
        </a:prstGeom>
        <a:solidFill>
          <a:srgbClr val="FF0000"/>
        </a:solidFill>
        <a:ln w="6350" cap="flat" cmpd="sng" algn="ctr">
          <a:noFill/>
          <a:prstDash val="solid"/>
          <a:miter lim="800000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180975</xdr:colOff>
      <xdr:row>8</xdr:row>
      <xdr:rowOff>95250</xdr:rowOff>
    </xdr:from>
    <xdr:ext cx="285750" cy="200025"/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3841531" y="1623848"/>
          <a:ext cx="289035" cy="201010"/>
        </a:xfrm>
        <a:prstGeom prst="rightArrow">
          <a:avLst/>
        </a:prstGeom>
        <a:solidFill>
          <a:srgbClr val="FF0000"/>
        </a:solidFill>
        <a:ln w="6350" cap="flat" cmpd="sng" algn="ctr">
          <a:noFill/>
          <a:prstDash val="solid"/>
          <a:miter lim="800000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/>
        </a:p>
      </xdr:txBody>
    </xdr:sp>
    <xdr:clientData fLocksWithSheet="0"/>
  </xdr:oneCellAnchor>
  <xdr:oneCellAnchor>
    <xdr:from>
      <xdr:col>6</xdr:col>
      <xdr:colOff>161925</xdr:colOff>
      <xdr:row>12</xdr:row>
      <xdr:rowOff>76200</xdr:rowOff>
    </xdr:from>
    <xdr:ext cx="285750" cy="200025"/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3820511" y="2364828"/>
          <a:ext cx="289035" cy="201009"/>
        </a:xfrm>
        <a:prstGeom prst="rightArrow">
          <a:avLst/>
        </a:prstGeom>
        <a:solidFill>
          <a:srgbClr val="FF0000"/>
        </a:solidFill>
        <a:ln w="6350" cap="flat" cmpd="sng" algn="ctr">
          <a:noFill/>
          <a:prstDash val="solid"/>
          <a:miter lim="800000"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7</xdr:row>
      <xdr:rowOff>76200</xdr:rowOff>
    </xdr:from>
    <xdr:ext cx="1333500" cy="352425"/>
    <xdr:sp macro="" textlink="">
      <xdr:nvSpPr>
        <xdr:cNvPr id="38918" name="Drop Down 6" hidden="1">
          <a:extLst>
            <a:ext uri="{FF2B5EF4-FFF2-40B4-BE49-F238E27FC236}">
              <a16:creationId xmlns:a16="http://schemas.microsoft.com/office/drawing/2014/main" id="{00000000-0008-0000-1600-000006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8</xdr:col>
      <xdr:colOff>523875</xdr:colOff>
      <xdr:row>7</xdr:row>
      <xdr:rowOff>66675</xdr:rowOff>
    </xdr:from>
    <xdr:ext cx="1333500" cy="352425"/>
    <xdr:sp macro="" textlink="">
      <xdr:nvSpPr>
        <xdr:cNvPr id="38919" name="Drop Down 7" hidden="1">
          <a:extLst>
            <a:ext uri="{FF2B5EF4-FFF2-40B4-BE49-F238E27FC236}">
              <a16:creationId xmlns:a16="http://schemas.microsoft.com/office/drawing/2014/main" id="{00000000-0008-0000-1600-000007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4</xdr:col>
      <xdr:colOff>66675</xdr:colOff>
      <xdr:row>9</xdr:row>
      <xdr:rowOff>85725</xdr:rowOff>
    </xdr:from>
    <xdr:ext cx="4572000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/>
  </sheetViews>
  <sheetFormatPr defaultColWidth="14.44140625" defaultRowHeight="15" customHeight="1"/>
  <cols>
    <col min="1" max="11" width="8.6640625" customWidth="1"/>
  </cols>
  <sheetData>
    <row r="1" spans="1:6" ht="14.4">
      <c r="A1" s="1"/>
      <c r="B1" s="2"/>
      <c r="C1" s="2"/>
      <c r="D1" s="2"/>
      <c r="E1" s="2"/>
      <c r="F1" s="3"/>
    </row>
    <row r="2" spans="1:6" ht="14.4">
      <c r="A2" s="4"/>
      <c r="B2" s="5"/>
      <c r="C2" s="5"/>
      <c r="D2" s="5"/>
      <c r="E2" s="5"/>
      <c r="F2" s="6"/>
    </row>
    <row r="3" spans="1:6" ht="14.4">
      <c r="A3" s="4"/>
      <c r="B3" s="5"/>
      <c r="C3" s="5"/>
      <c r="D3" s="5"/>
      <c r="E3" s="5"/>
      <c r="F3" s="6"/>
    </row>
    <row r="4" spans="1:6" ht="14.4">
      <c r="A4" s="4"/>
      <c r="B4" s="5"/>
      <c r="C4" s="5"/>
      <c r="D4" s="5"/>
      <c r="E4" s="5"/>
      <c r="F4" s="6"/>
    </row>
    <row r="5" spans="1:6" ht="14.4">
      <c r="A5" s="4"/>
      <c r="B5" s="5"/>
      <c r="C5" s="5"/>
      <c r="D5" s="5"/>
      <c r="E5" s="5"/>
      <c r="F5" s="6"/>
    </row>
    <row r="6" spans="1:6">
      <c r="A6" s="78" t="s">
        <v>0</v>
      </c>
      <c r="B6" s="79"/>
      <c r="C6" s="79"/>
      <c r="D6" s="79"/>
      <c r="E6" s="79"/>
      <c r="F6" s="80"/>
    </row>
    <row r="7" spans="1:6" ht="14.4">
      <c r="A7" s="4"/>
      <c r="B7" s="5"/>
      <c r="C7" s="5"/>
      <c r="D7" s="5"/>
      <c r="E7" s="5"/>
      <c r="F7" s="6"/>
    </row>
    <row r="8" spans="1:6" ht="14.4">
      <c r="A8" s="81" t="s">
        <v>1</v>
      </c>
      <c r="B8" s="79"/>
      <c r="C8" s="79"/>
      <c r="D8" s="79"/>
      <c r="E8" s="79"/>
      <c r="F8" s="80"/>
    </row>
    <row r="9" spans="1:6" ht="14.4">
      <c r="A9" s="4"/>
      <c r="B9" s="5"/>
      <c r="C9" s="5"/>
      <c r="D9" s="5"/>
      <c r="E9" s="5"/>
      <c r="F9" s="6"/>
    </row>
    <row r="10" spans="1:6" ht="14.4">
      <c r="A10" s="4"/>
      <c r="B10" s="5"/>
      <c r="C10" s="5"/>
      <c r="D10" s="5"/>
      <c r="E10" s="5"/>
      <c r="F10" s="6"/>
    </row>
    <row r="11" spans="1:6" ht="14.4">
      <c r="A11" s="4"/>
      <c r="B11" s="5"/>
      <c r="C11" s="5"/>
      <c r="D11" s="5"/>
      <c r="E11" s="5"/>
      <c r="F11" s="6"/>
    </row>
    <row r="12" spans="1:6" ht="14.4">
      <c r="A12" s="7"/>
      <c r="B12" s="8"/>
      <c r="C12" s="8"/>
      <c r="D12" s="8"/>
      <c r="E12" s="8"/>
      <c r="F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6:F6"/>
    <mergeCell ref="A8:F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H11" sqref="H11"/>
    </sheetView>
  </sheetViews>
  <sheetFormatPr defaultColWidth="14.44140625" defaultRowHeight="15" customHeight="1"/>
  <cols>
    <col min="1" max="1" width="11.6640625" customWidth="1"/>
    <col min="2" max="2" width="18" customWidth="1"/>
    <col min="3" max="4" width="11.33203125" customWidth="1"/>
    <col min="5" max="5" width="10.44140625" customWidth="1"/>
    <col min="6" max="6" width="8.6640625" customWidth="1"/>
    <col min="7" max="7" width="11.6640625" customWidth="1"/>
    <col min="8" max="8" width="11.33203125" customWidth="1"/>
    <col min="9" max="9" width="11" customWidth="1"/>
    <col min="10" max="10" width="10" customWidth="1"/>
    <col min="11" max="12" width="8.6640625" customWidth="1"/>
  </cols>
  <sheetData>
    <row r="1" spans="1:12" ht="14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</row>
    <row r="2" spans="1:12" ht="14.4">
      <c r="A2" s="11">
        <v>1001</v>
      </c>
      <c r="B2" s="11" t="s">
        <v>7</v>
      </c>
      <c r="C2" s="11" t="s">
        <v>8</v>
      </c>
      <c r="D2" s="11" t="s">
        <v>9</v>
      </c>
      <c r="E2" s="11">
        <v>45</v>
      </c>
      <c r="G2" s="11">
        <v>1001</v>
      </c>
      <c r="H2" s="11" t="str">
        <f>VLOOKUP($G$2,list1,COLUMN()-6)</f>
        <v>Shaktimaan</v>
      </c>
      <c r="I2" s="11" t="str">
        <f>VLOOKUP($G$2,list1,COLUMN()-6,0)</f>
        <v>Iodex</v>
      </c>
      <c r="J2" s="11" t="str">
        <f>VLOOKUP($G$2,list1,COLUMN()-6,0)</f>
        <v>South City</v>
      </c>
      <c r="K2" s="11">
        <f>VLOOKUP($G$2,list1,COLUMN()-6,0)</f>
        <v>45</v>
      </c>
    </row>
    <row r="3" spans="1:12" ht="14.4">
      <c r="A3" s="11">
        <v>1002</v>
      </c>
      <c r="B3" s="11" t="s">
        <v>10</v>
      </c>
      <c r="C3" s="11" t="s">
        <v>11</v>
      </c>
      <c r="D3" s="11" t="s">
        <v>12</v>
      </c>
      <c r="E3" s="11">
        <v>65</v>
      </c>
      <c r="I3" s="42">
        <f>COLUMN()</f>
        <v>9</v>
      </c>
      <c r="J3" s="42">
        <f>COLUMN()</f>
        <v>10</v>
      </c>
    </row>
    <row r="4" spans="1:12" ht="14.4">
      <c r="A4" s="11">
        <v>1003</v>
      </c>
      <c r="B4" s="11" t="s">
        <v>13</v>
      </c>
      <c r="C4" s="11" t="s">
        <v>14</v>
      </c>
      <c r="D4" s="11" t="s">
        <v>15</v>
      </c>
      <c r="E4" s="11">
        <v>32</v>
      </c>
    </row>
    <row r="5" spans="1:12" ht="14.4">
      <c r="A5" s="11">
        <v>1004</v>
      </c>
      <c r="B5" s="11" t="s">
        <v>16</v>
      </c>
      <c r="C5" s="11" t="s">
        <v>17</v>
      </c>
      <c r="D5" s="11" t="s">
        <v>9</v>
      </c>
      <c r="E5" s="11">
        <v>65</v>
      </c>
      <c r="G5" s="10" t="s">
        <v>2</v>
      </c>
      <c r="H5" s="11">
        <v>1007</v>
      </c>
      <c r="J5">
        <v>45</v>
      </c>
      <c r="K5">
        <v>65</v>
      </c>
      <c r="L5">
        <f>SUM(J5:K5)</f>
        <v>110</v>
      </c>
    </row>
    <row r="6" spans="1:12" ht="14.4">
      <c r="A6" s="11">
        <v>1005</v>
      </c>
      <c r="B6" s="11" t="s">
        <v>18</v>
      </c>
      <c r="C6" s="11" t="s">
        <v>8</v>
      </c>
      <c r="D6" s="11" t="s">
        <v>12</v>
      </c>
      <c r="E6" s="11">
        <v>98</v>
      </c>
      <c r="G6" s="10" t="s">
        <v>3</v>
      </c>
      <c r="H6" s="11" t="str">
        <f>VLOOKUP($H$5,list1,ROW()-4,0)</f>
        <v>Antman</v>
      </c>
      <c r="I6" s="42">
        <f>ROW()</f>
        <v>6</v>
      </c>
      <c r="J6">
        <v>45</v>
      </c>
      <c r="K6">
        <v>68</v>
      </c>
      <c r="L6">
        <f>J6+K6</f>
        <v>113</v>
      </c>
    </row>
    <row r="7" spans="1:12" ht="14.4">
      <c r="A7" s="11">
        <v>1006</v>
      </c>
      <c r="B7" s="11" t="s">
        <v>19</v>
      </c>
      <c r="C7" s="11" t="s">
        <v>11</v>
      </c>
      <c r="D7" s="11" t="s">
        <v>15</v>
      </c>
      <c r="E7" s="11">
        <v>65</v>
      </c>
      <c r="G7" s="10" t="s">
        <v>4</v>
      </c>
      <c r="H7" s="11" t="str">
        <f>VLOOKUP($H$5,list1,ROW()-4,0)</f>
        <v>Toothbrush</v>
      </c>
    </row>
    <row r="8" spans="1:12" ht="14.4">
      <c r="A8" s="11">
        <v>1007</v>
      </c>
      <c r="B8" s="11" t="s">
        <v>20</v>
      </c>
      <c r="C8" s="11" t="s">
        <v>17</v>
      </c>
      <c r="D8" s="11" t="s">
        <v>9</v>
      </c>
      <c r="E8" s="11">
        <v>32</v>
      </c>
      <c r="G8" s="10" t="s">
        <v>5</v>
      </c>
      <c r="H8" s="11" t="str">
        <f>VLOOKUP($H$5,list1,ROW()-4,0)</f>
        <v>South City</v>
      </c>
    </row>
    <row r="9" spans="1:12" ht="14.4">
      <c r="A9" s="11">
        <v>1008</v>
      </c>
      <c r="B9" s="11" t="s">
        <v>21</v>
      </c>
      <c r="C9" s="11" t="s">
        <v>22</v>
      </c>
      <c r="D9" s="11" t="s">
        <v>12</v>
      </c>
      <c r="E9" s="11">
        <v>65</v>
      </c>
      <c r="G9" s="10" t="s">
        <v>6</v>
      </c>
      <c r="H9" s="11">
        <f>VLOOKUP($H$5,list1,ROW()-4,0)</f>
        <v>32</v>
      </c>
    </row>
    <row r="10" spans="1:12" ht="14.4">
      <c r="A10" s="11">
        <v>1009</v>
      </c>
      <c r="B10" s="11" t="s">
        <v>23</v>
      </c>
      <c r="C10" s="11" t="s">
        <v>22</v>
      </c>
      <c r="D10" s="11" t="s">
        <v>15</v>
      </c>
      <c r="E10" s="11">
        <v>54</v>
      </c>
    </row>
    <row r="11" spans="1:12" ht="14.4">
      <c r="A11" s="11">
        <v>1010</v>
      </c>
      <c r="B11" s="11" t="s">
        <v>24</v>
      </c>
      <c r="C11" s="11" t="s">
        <v>11</v>
      </c>
      <c r="D11" s="11" t="s">
        <v>9</v>
      </c>
      <c r="E11" s="11">
        <v>65</v>
      </c>
      <c r="G11" s="10" t="s">
        <v>2</v>
      </c>
      <c r="H11" s="11">
        <v>1005</v>
      </c>
    </row>
    <row r="12" spans="1:12" ht="14.4">
      <c r="G12" s="10" t="s">
        <v>3</v>
      </c>
      <c r="H12" s="11" t="str">
        <f t="shared" ref="H12:H15" si="0">VLOOKUP($H$11,$A$1:$E$11,ROW()-10,0)</f>
        <v>Batman</v>
      </c>
      <c r="I12" s="42">
        <f>ROW()</f>
        <v>12</v>
      </c>
      <c r="K12" s="41" t="s">
        <v>174</v>
      </c>
    </row>
    <row r="13" spans="1:12" ht="14.4">
      <c r="G13" s="10" t="s">
        <v>4</v>
      </c>
      <c r="H13" s="11" t="str">
        <f t="shared" si="0"/>
        <v>Iodex</v>
      </c>
    </row>
    <row r="14" spans="1:12" ht="14.4">
      <c r="G14" s="10" t="s">
        <v>5</v>
      </c>
      <c r="H14" s="11" t="str">
        <f t="shared" si="0"/>
        <v>North City</v>
      </c>
    </row>
    <row r="15" spans="1:12" ht="14.4">
      <c r="G15" s="10" t="s">
        <v>6</v>
      </c>
      <c r="H15" s="11">
        <f t="shared" si="0"/>
        <v>98</v>
      </c>
    </row>
    <row r="19" spans="7:11" ht="15" customHeight="1">
      <c r="G19" s="45" t="s">
        <v>2</v>
      </c>
      <c r="H19" s="45" t="s">
        <v>3</v>
      </c>
      <c r="I19" s="45" t="s">
        <v>4</v>
      </c>
      <c r="J19" s="45" t="s">
        <v>5</v>
      </c>
      <c r="K19" s="45" t="s">
        <v>6</v>
      </c>
    </row>
    <row r="20" spans="7:11" ht="15" customHeight="1">
      <c r="G20" s="44">
        <v>1001</v>
      </c>
      <c r="H20" s="44" t="str">
        <f>VLOOKUP($G$20,$A$1:$E$11,COLUMN()-6,0)</f>
        <v>Shaktimaan</v>
      </c>
      <c r="I20" s="44" t="str">
        <f t="shared" ref="I20:K20" si="1">VLOOKUP($G$20,$A$1:$E$11,COLUMN()-6,0)</f>
        <v>Iodex</v>
      </c>
      <c r="J20" s="44" t="str">
        <f t="shared" si="1"/>
        <v>South City</v>
      </c>
      <c r="K20" s="44">
        <f t="shared" si="1"/>
        <v>45</v>
      </c>
    </row>
    <row r="21" spans="7:11" ht="15.75" customHeight="1"/>
    <row r="22" spans="7:11" ht="15.75" customHeight="1"/>
    <row r="23" spans="7:11" ht="15.75" customHeight="1"/>
    <row r="24" spans="7:11" ht="15.75" customHeight="1"/>
    <row r="25" spans="7:11" ht="15.75" customHeight="1"/>
    <row r="26" spans="7:11" ht="15.75" customHeight="1"/>
    <row r="27" spans="7:11" ht="15.75" customHeight="1"/>
    <row r="28" spans="7:11" ht="15.75" customHeight="1"/>
    <row r="29" spans="7:11" ht="15.75" customHeight="1"/>
    <row r="30" spans="7:11" ht="15.75" customHeight="1"/>
    <row r="31" spans="7:11" ht="15.75" customHeight="1"/>
    <row r="32" spans="7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1">
    <dataValidation type="list" allowBlank="1" showInputMessage="1" showErrorMessage="1" sqref="G20" xr:uid="{A558D0D8-9A2D-44F4-9C36-009DC278E345}">
      <formula1>$A$2:$A$11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topLeftCell="A3" workbookViewId="0">
      <selection activeCell="G15" sqref="G15"/>
    </sheetView>
  </sheetViews>
  <sheetFormatPr defaultColWidth="14.44140625" defaultRowHeight="15" customHeight="1"/>
  <cols>
    <col min="1" max="1" width="11.6640625" customWidth="1"/>
    <col min="2" max="2" width="18" customWidth="1"/>
    <col min="3" max="4" width="11.33203125" customWidth="1"/>
    <col min="5" max="5" width="10.44140625" customWidth="1"/>
    <col min="6" max="6" width="12.44140625" customWidth="1"/>
    <col min="7" max="7" width="10.109375" customWidth="1"/>
    <col min="8" max="8" width="8.6640625" customWidth="1"/>
    <col min="9" max="9" width="10" customWidth="1"/>
    <col min="10" max="10" width="12.44140625" customWidth="1"/>
    <col min="11" max="11" width="8.6640625" customWidth="1"/>
  </cols>
  <sheetData>
    <row r="1" spans="1:12" ht="14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2" t="s">
        <v>25</v>
      </c>
      <c r="G1" s="12" t="s">
        <v>26</v>
      </c>
      <c r="I1" s="13" t="s">
        <v>27</v>
      </c>
      <c r="J1" s="11" t="s">
        <v>25</v>
      </c>
    </row>
    <row r="2" spans="1:12" ht="14.4">
      <c r="A2" s="11">
        <v>1001</v>
      </c>
      <c r="B2" s="11" t="s">
        <v>7</v>
      </c>
      <c r="C2" s="11" t="s">
        <v>8</v>
      </c>
      <c r="D2" s="11" t="s">
        <v>9</v>
      </c>
      <c r="E2" s="11">
        <v>45</v>
      </c>
      <c r="F2" s="11" t="str">
        <f t="shared" ref="F2:F11" si="0">VLOOKUP(E2,Target,2,1)</f>
        <v>Average</v>
      </c>
      <c r="G2">
        <f t="shared" ref="G2:G11" si="1">VLOOKUP(D2,Zone,2,0)</f>
        <v>400085</v>
      </c>
      <c r="I2" s="11">
        <v>0</v>
      </c>
      <c r="J2" s="11" t="s">
        <v>28</v>
      </c>
    </row>
    <row r="3" spans="1:12" ht="14.4">
      <c r="A3" s="11">
        <v>1002</v>
      </c>
      <c r="B3" s="11" t="s">
        <v>10</v>
      </c>
      <c r="C3" s="11" t="s">
        <v>11</v>
      </c>
      <c r="D3" s="11" t="s">
        <v>12</v>
      </c>
      <c r="E3" s="11">
        <v>65</v>
      </c>
      <c r="F3" s="11" t="str">
        <f t="shared" si="0"/>
        <v>Good</v>
      </c>
      <c r="G3">
        <f t="shared" si="1"/>
        <v>400075</v>
      </c>
      <c r="I3" s="11">
        <v>35</v>
      </c>
      <c r="J3" s="11" t="s">
        <v>29</v>
      </c>
    </row>
    <row r="4" spans="1:12" ht="14.4">
      <c r="A4" s="11">
        <v>1003</v>
      </c>
      <c r="B4" s="11" t="s">
        <v>13</v>
      </c>
      <c r="C4" s="11" t="s">
        <v>14</v>
      </c>
      <c r="D4" s="11" t="s">
        <v>15</v>
      </c>
      <c r="E4" s="11">
        <v>32</v>
      </c>
      <c r="F4" s="11" t="str">
        <f t="shared" si="0"/>
        <v>Poor</v>
      </c>
      <c r="G4">
        <f t="shared" si="1"/>
        <v>400089</v>
      </c>
      <c r="I4" s="11">
        <v>60</v>
      </c>
      <c r="J4" s="11" t="s">
        <v>30</v>
      </c>
    </row>
    <row r="5" spans="1:12" ht="14.4">
      <c r="A5" s="11">
        <v>1004</v>
      </c>
      <c r="B5" s="11" t="s">
        <v>16</v>
      </c>
      <c r="C5" s="11" t="s">
        <v>17</v>
      </c>
      <c r="D5" s="11" t="s">
        <v>9</v>
      </c>
      <c r="E5" s="11">
        <v>65</v>
      </c>
      <c r="F5" s="11" t="str">
        <f t="shared" si="0"/>
        <v>Good</v>
      </c>
      <c r="G5">
        <f t="shared" si="1"/>
        <v>400085</v>
      </c>
      <c r="I5" s="11">
        <v>80</v>
      </c>
      <c r="J5" s="11" t="s">
        <v>31</v>
      </c>
    </row>
    <row r="6" spans="1:12" ht="14.4">
      <c r="A6" s="11">
        <v>1005</v>
      </c>
      <c r="B6" s="11" t="s">
        <v>18</v>
      </c>
      <c r="C6" s="11" t="s">
        <v>8</v>
      </c>
      <c r="D6" s="11" t="s">
        <v>12</v>
      </c>
      <c r="E6" s="11">
        <v>98</v>
      </c>
      <c r="F6" s="11" t="str">
        <f t="shared" si="0"/>
        <v>Best</v>
      </c>
      <c r="G6">
        <f t="shared" si="1"/>
        <v>400075</v>
      </c>
    </row>
    <row r="7" spans="1:12" ht="14.4">
      <c r="A7" s="11">
        <v>1006</v>
      </c>
      <c r="B7" s="11" t="s">
        <v>19</v>
      </c>
      <c r="C7" s="11" t="s">
        <v>11</v>
      </c>
      <c r="D7" s="11" t="s">
        <v>15</v>
      </c>
      <c r="E7" s="11">
        <v>65</v>
      </c>
      <c r="F7" s="11" t="str">
        <f t="shared" si="0"/>
        <v>Good</v>
      </c>
      <c r="G7">
        <f t="shared" si="1"/>
        <v>400089</v>
      </c>
    </row>
    <row r="8" spans="1:12" ht="14.4">
      <c r="A8" s="11">
        <v>1007</v>
      </c>
      <c r="B8" s="11" t="s">
        <v>20</v>
      </c>
      <c r="C8" s="11" t="s">
        <v>17</v>
      </c>
      <c r="D8" s="11" t="s">
        <v>9</v>
      </c>
      <c r="E8" s="11">
        <v>32</v>
      </c>
      <c r="F8" s="11" t="str">
        <f t="shared" si="0"/>
        <v>Poor</v>
      </c>
      <c r="G8">
        <f t="shared" si="1"/>
        <v>400085</v>
      </c>
      <c r="I8" s="10" t="s">
        <v>5</v>
      </c>
      <c r="J8" s="11" t="s">
        <v>26</v>
      </c>
    </row>
    <row r="9" spans="1:12" ht="14.4">
      <c r="A9" s="11">
        <v>1008</v>
      </c>
      <c r="B9" s="11" t="s">
        <v>21</v>
      </c>
      <c r="C9" s="11" t="s">
        <v>22</v>
      </c>
      <c r="D9" s="11" t="s">
        <v>12</v>
      </c>
      <c r="E9" s="11">
        <v>65</v>
      </c>
      <c r="F9" s="11" t="str">
        <f t="shared" si="0"/>
        <v>Good</v>
      </c>
      <c r="G9">
        <f t="shared" si="1"/>
        <v>400075</v>
      </c>
      <c r="I9" s="11" t="s">
        <v>9</v>
      </c>
      <c r="J9" s="11">
        <v>400085</v>
      </c>
    </row>
    <row r="10" spans="1:12" ht="14.4">
      <c r="A10" s="11">
        <v>1009</v>
      </c>
      <c r="B10" s="11" t="s">
        <v>23</v>
      </c>
      <c r="C10" s="11" t="s">
        <v>22</v>
      </c>
      <c r="D10" s="11" t="s">
        <v>15</v>
      </c>
      <c r="E10" s="11">
        <v>54</v>
      </c>
      <c r="F10" s="11" t="str">
        <f t="shared" si="0"/>
        <v>Average</v>
      </c>
      <c r="G10">
        <f t="shared" si="1"/>
        <v>400089</v>
      </c>
      <c r="I10" s="11" t="s">
        <v>12</v>
      </c>
      <c r="J10" s="11">
        <v>400075</v>
      </c>
    </row>
    <row r="11" spans="1:12" ht="14.4">
      <c r="A11" s="11">
        <v>1010</v>
      </c>
      <c r="B11" s="11" t="s">
        <v>24</v>
      </c>
      <c r="C11" s="11" t="s">
        <v>11</v>
      </c>
      <c r="D11" s="11" t="s">
        <v>9</v>
      </c>
      <c r="E11" s="11">
        <v>65</v>
      </c>
      <c r="F11" s="11" t="str">
        <f t="shared" si="0"/>
        <v>Good</v>
      </c>
      <c r="G11">
        <f t="shared" si="1"/>
        <v>400085</v>
      </c>
      <c r="I11" s="11" t="s">
        <v>15</v>
      </c>
      <c r="J11" s="11">
        <v>400089</v>
      </c>
    </row>
    <row r="12" spans="1:12" ht="15" customHeight="1">
      <c r="I12" s="41" t="s">
        <v>176</v>
      </c>
      <c r="J12" s="51" t="s">
        <v>177</v>
      </c>
    </row>
    <row r="13" spans="1:12" ht="15" customHeight="1">
      <c r="A13" s="10" t="s">
        <v>2</v>
      </c>
      <c r="B13" s="10" t="s">
        <v>3</v>
      </c>
      <c r="C13" s="10" t="s">
        <v>4</v>
      </c>
      <c r="D13" s="10" t="s">
        <v>5</v>
      </c>
      <c r="E13" s="46" t="s">
        <v>6</v>
      </c>
      <c r="F13" s="43" t="s">
        <v>25</v>
      </c>
      <c r="G13" s="43" t="s">
        <v>26</v>
      </c>
      <c r="I13" s="47" t="s">
        <v>27</v>
      </c>
      <c r="J13" s="47" t="s">
        <v>25</v>
      </c>
    </row>
    <row r="14" spans="1:12" ht="15" customHeight="1">
      <c r="A14" s="47">
        <v>1001</v>
      </c>
      <c r="B14" s="47" t="s">
        <v>7</v>
      </c>
      <c r="C14" s="47" t="s">
        <v>8</v>
      </c>
      <c r="D14" s="47" t="s">
        <v>9</v>
      </c>
      <c r="E14" s="48">
        <v>45</v>
      </c>
      <c r="F14" s="49" t="str">
        <f>VLOOKUP(E14,$I$13:$J$17,2,1)</f>
        <v>Average</v>
      </c>
      <c r="G14" s="49">
        <f>VLOOKUP(D14,$I$19:$J$22,2,0)</f>
        <v>400085</v>
      </c>
      <c r="I14" s="47">
        <v>0</v>
      </c>
      <c r="J14" s="47" t="s">
        <v>28</v>
      </c>
      <c r="L14" s="41" t="s">
        <v>175</v>
      </c>
    </row>
    <row r="15" spans="1:12" ht="15" customHeight="1">
      <c r="A15" s="47">
        <v>1002</v>
      </c>
      <c r="B15" s="47" t="s">
        <v>10</v>
      </c>
      <c r="C15" s="47" t="s">
        <v>11</v>
      </c>
      <c r="D15" s="47" t="s">
        <v>12</v>
      </c>
      <c r="E15" s="48">
        <v>65</v>
      </c>
      <c r="F15" s="49" t="str">
        <f t="shared" ref="F15:F23" si="2">VLOOKUP(E15,$I$13:$J$17,2,1)</f>
        <v>Good</v>
      </c>
      <c r="G15" s="49">
        <f t="shared" ref="G15:G23" si="3">VLOOKUP(D15,$I$19:$J$22,2,0)</f>
        <v>400075</v>
      </c>
      <c r="I15" s="47">
        <v>35</v>
      </c>
      <c r="J15" s="47" t="s">
        <v>29</v>
      </c>
    </row>
    <row r="16" spans="1:12" ht="15" customHeight="1">
      <c r="A16" s="47">
        <v>1003</v>
      </c>
      <c r="B16" s="47" t="s">
        <v>13</v>
      </c>
      <c r="C16" s="47" t="s">
        <v>14</v>
      </c>
      <c r="D16" s="47" t="s">
        <v>15</v>
      </c>
      <c r="E16" s="48">
        <v>32</v>
      </c>
      <c r="F16" s="49" t="str">
        <f t="shared" si="2"/>
        <v>Poor</v>
      </c>
      <c r="G16" s="49">
        <f t="shared" si="3"/>
        <v>400089</v>
      </c>
      <c r="I16" s="47">
        <v>60</v>
      </c>
      <c r="J16" s="47" t="s">
        <v>30</v>
      </c>
    </row>
    <row r="17" spans="1:10" ht="15" customHeight="1">
      <c r="A17" s="47">
        <v>1004</v>
      </c>
      <c r="B17" s="47" t="s">
        <v>16</v>
      </c>
      <c r="C17" s="47" t="s">
        <v>17</v>
      </c>
      <c r="D17" s="47" t="s">
        <v>9</v>
      </c>
      <c r="E17" s="48">
        <v>65</v>
      </c>
      <c r="F17" s="49" t="str">
        <f t="shared" si="2"/>
        <v>Good</v>
      </c>
      <c r="G17" s="49">
        <f t="shared" si="3"/>
        <v>400085</v>
      </c>
      <c r="I17" s="47">
        <v>80</v>
      </c>
      <c r="J17" s="47" t="s">
        <v>31</v>
      </c>
    </row>
    <row r="18" spans="1:10" ht="15" customHeight="1">
      <c r="A18" s="47">
        <v>1005</v>
      </c>
      <c r="B18" s="47" t="s">
        <v>18</v>
      </c>
      <c r="C18" s="47" t="s">
        <v>8</v>
      </c>
      <c r="D18" s="47" t="s">
        <v>12</v>
      </c>
      <c r="E18" s="48">
        <v>98</v>
      </c>
      <c r="F18" s="49" t="str">
        <f t="shared" si="2"/>
        <v>Best</v>
      </c>
      <c r="G18" s="49">
        <f t="shared" si="3"/>
        <v>400075</v>
      </c>
    </row>
    <row r="19" spans="1:10" ht="15" customHeight="1">
      <c r="A19" s="47">
        <v>1006</v>
      </c>
      <c r="B19" s="47" t="s">
        <v>19</v>
      </c>
      <c r="C19" s="47" t="s">
        <v>11</v>
      </c>
      <c r="D19" s="47" t="s">
        <v>15</v>
      </c>
      <c r="E19" s="48">
        <v>65</v>
      </c>
      <c r="F19" s="49" t="str">
        <f t="shared" si="2"/>
        <v>Good</v>
      </c>
      <c r="G19" s="49">
        <f t="shared" si="3"/>
        <v>400089</v>
      </c>
      <c r="I19" s="50" t="s">
        <v>5</v>
      </c>
      <c r="J19" s="47" t="s">
        <v>26</v>
      </c>
    </row>
    <row r="20" spans="1:10" ht="15" customHeight="1">
      <c r="A20" s="47">
        <v>1007</v>
      </c>
      <c r="B20" s="47" t="s">
        <v>20</v>
      </c>
      <c r="C20" s="47" t="s">
        <v>17</v>
      </c>
      <c r="D20" s="47" t="s">
        <v>9</v>
      </c>
      <c r="E20" s="48">
        <v>32</v>
      </c>
      <c r="F20" s="49" t="str">
        <f t="shared" si="2"/>
        <v>Poor</v>
      </c>
      <c r="G20" s="49">
        <f t="shared" si="3"/>
        <v>400085</v>
      </c>
      <c r="I20" s="47" t="s">
        <v>9</v>
      </c>
      <c r="J20" s="47">
        <v>400085</v>
      </c>
    </row>
    <row r="21" spans="1:10" ht="15.75" customHeight="1">
      <c r="A21" s="47">
        <v>1008</v>
      </c>
      <c r="B21" s="47" t="s">
        <v>21</v>
      </c>
      <c r="C21" s="47" t="s">
        <v>22</v>
      </c>
      <c r="D21" s="47" t="s">
        <v>12</v>
      </c>
      <c r="E21" s="48">
        <v>65</v>
      </c>
      <c r="F21" s="49" t="str">
        <f t="shared" si="2"/>
        <v>Good</v>
      </c>
      <c r="G21" s="49">
        <f t="shared" si="3"/>
        <v>400075</v>
      </c>
      <c r="I21" s="47" t="s">
        <v>12</v>
      </c>
      <c r="J21" s="47">
        <v>400075</v>
      </c>
    </row>
    <row r="22" spans="1:10" ht="15.75" customHeight="1">
      <c r="A22" s="47">
        <v>1009</v>
      </c>
      <c r="B22" s="47" t="s">
        <v>23</v>
      </c>
      <c r="C22" s="47" t="s">
        <v>22</v>
      </c>
      <c r="D22" s="47" t="s">
        <v>15</v>
      </c>
      <c r="E22" s="48">
        <v>54</v>
      </c>
      <c r="F22" s="49" t="str">
        <f t="shared" si="2"/>
        <v>Average</v>
      </c>
      <c r="G22" s="49">
        <f t="shared" si="3"/>
        <v>400089</v>
      </c>
      <c r="I22" s="47" t="s">
        <v>15</v>
      </c>
      <c r="J22" s="47">
        <v>400089</v>
      </c>
    </row>
    <row r="23" spans="1:10" ht="15.75" customHeight="1">
      <c r="A23" s="47">
        <v>1010</v>
      </c>
      <c r="B23" s="47" t="s">
        <v>24</v>
      </c>
      <c r="C23" s="47" t="s">
        <v>11</v>
      </c>
      <c r="D23" s="47" t="s">
        <v>9</v>
      </c>
      <c r="E23" s="48">
        <v>65</v>
      </c>
      <c r="F23" s="49" t="str">
        <f t="shared" si="2"/>
        <v>Good</v>
      </c>
      <c r="G23" s="49">
        <f t="shared" si="3"/>
        <v>400085</v>
      </c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>
      <selection activeCell="H5" sqref="H5"/>
    </sheetView>
  </sheetViews>
  <sheetFormatPr defaultColWidth="14.44140625" defaultRowHeight="15" customHeight="1"/>
  <cols>
    <col min="1" max="1" width="11.6640625" customWidth="1"/>
    <col min="2" max="2" width="18" customWidth="1"/>
    <col min="3" max="4" width="11.33203125" customWidth="1"/>
    <col min="5" max="5" width="10.44140625" customWidth="1"/>
    <col min="6" max="6" width="8.6640625" customWidth="1"/>
    <col min="7" max="7" width="11.6640625" customWidth="1"/>
    <col min="8" max="8" width="10.5546875" customWidth="1"/>
    <col min="9" max="11" width="9.33203125" customWidth="1"/>
  </cols>
  <sheetData>
    <row r="1" spans="1:11" ht="14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</row>
    <row r="2" spans="1:11" ht="14.4">
      <c r="A2" s="11">
        <v>1001</v>
      </c>
      <c r="B2" s="11" t="s">
        <v>7</v>
      </c>
      <c r="C2" s="11" t="s">
        <v>8</v>
      </c>
      <c r="D2" s="11" t="s">
        <v>9</v>
      </c>
      <c r="E2" s="11">
        <v>45</v>
      </c>
      <c r="G2" s="11">
        <v>1010</v>
      </c>
      <c r="H2" s="11" t="str">
        <f>IFERROR(VLOOKUP($G$2,List2,COLUMN()-6,0),"Invalid No")</f>
        <v>Netman</v>
      </c>
      <c r="I2" s="11" t="str">
        <f>IFERROR(VLOOKUP($G$2,List2,COLUMN()-6,0),"Invalid No")</f>
        <v>Tigerbalm</v>
      </c>
      <c r="J2" s="11" t="str">
        <f>IFERROR(VLOOKUP($G$2,List2,COLUMN()-6,0),"Invalid No")</f>
        <v>South City</v>
      </c>
      <c r="K2" s="11">
        <f>IFERROR(VLOOKUP($G$2,List2,COLUMN()-6,0),"Invalid No")</f>
        <v>65</v>
      </c>
    </row>
    <row r="3" spans="1:11" ht="14.4">
      <c r="A3" s="11">
        <v>1002</v>
      </c>
      <c r="B3" s="11" t="s">
        <v>10</v>
      </c>
      <c r="C3" s="11" t="s">
        <v>11</v>
      </c>
      <c r="D3" s="11" t="s">
        <v>12</v>
      </c>
      <c r="E3" s="11">
        <v>65</v>
      </c>
    </row>
    <row r="4" spans="1:11" ht="14.4">
      <c r="A4" s="11">
        <v>1003</v>
      </c>
      <c r="B4" s="11" t="s">
        <v>13</v>
      </c>
      <c r="C4" s="11" t="s">
        <v>14</v>
      </c>
      <c r="D4" s="11" t="s">
        <v>15</v>
      </c>
      <c r="E4" s="11">
        <v>32</v>
      </c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</row>
    <row r="5" spans="1:11" ht="14.4">
      <c r="A5" s="11">
        <v>1004</v>
      </c>
      <c r="B5" s="11" t="s">
        <v>16</v>
      </c>
      <c r="C5" s="11" t="s">
        <v>17</v>
      </c>
      <c r="D5" s="11" t="s">
        <v>9</v>
      </c>
      <c r="E5" s="11">
        <v>65</v>
      </c>
      <c r="G5" s="11">
        <v>1001</v>
      </c>
      <c r="H5" s="11" t="str">
        <f>IFERROR(VLOOKUP($G$5,$A$1:$E$11,COLUMN()-6,0),"INVALID")</f>
        <v>Shaktimaan</v>
      </c>
      <c r="I5" s="11" t="str">
        <f t="shared" ref="I5:K5" si="0">IFERROR(VLOOKUP($G$5,$A$1:$E$11,COLUMN()-6,0),"INVALID")</f>
        <v>Iodex</v>
      </c>
      <c r="J5" s="11" t="str">
        <f t="shared" si="0"/>
        <v>South City</v>
      </c>
      <c r="K5" s="11">
        <f t="shared" si="0"/>
        <v>45</v>
      </c>
    </row>
    <row r="6" spans="1:11" ht="14.4">
      <c r="A6" s="11">
        <v>1005</v>
      </c>
      <c r="B6" s="11" t="s">
        <v>18</v>
      </c>
      <c r="C6" s="11" t="s">
        <v>8</v>
      </c>
      <c r="D6" s="11" t="s">
        <v>12</v>
      </c>
      <c r="E6" s="11">
        <v>98</v>
      </c>
      <c r="H6" s="41">
        <f>COLUMN()</f>
        <v>8</v>
      </c>
    </row>
    <row r="7" spans="1:11" ht="14.4">
      <c r="A7" s="11">
        <v>1006</v>
      </c>
      <c r="B7" s="11" t="s">
        <v>19</v>
      </c>
      <c r="C7" s="11" t="s">
        <v>11</v>
      </c>
      <c r="D7" s="11" t="s">
        <v>15</v>
      </c>
      <c r="E7" s="11">
        <v>65</v>
      </c>
    </row>
    <row r="8" spans="1:11" ht="14.4">
      <c r="A8" s="11">
        <v>1007</v>
      </c>
      <c r="B8" s="11" t="s">
        <v>20</v>
      </c>
      <c r="C8" s="11" t="s">
        <v>17</v>
      </c>
      <c r="D8" s="11" t="s">
        <v>9</v>
      </c>
      <c r="E8" s="11">
        <v>32</v>
      </c>
    </row>
    <row r="9" spans="1:11" ht="14.4">
      <c r="A9" s="11">
        <v>1008</v>
      </c>
      <c r="B9" s="11" t="s">
        <v>21</v>
      </c>
      <c r="C9" s="11" t="s">
        <v>22</v>
      </c>
      <c r="D9" s="11" t="s">
        <v>12</v>
      </c>
      <c r="E9" s="11">
        <v>65</v>
      </c>
    </row>
    <row r="10" spans="1:11" ht="14.4">
      <c r="A10" s="11">
        <v>1009</v>
      </c>
      <c r="B10" s="11" t="s">
        <v>23</v>
      </c>
      <c r="C10" s="11" t="s">
        <v>22</v>
      </c>
      <c r="D10" s="11" t="s">
        <v>15</v>
      </c>
      <c r="E10" s="11">
        <v>54</v>
      </c>
    </row>
    <row r="11" spans="1:11" ht="14.4">
      <c r="A11" s="11">
        <v>1010</v>
      </c>
      <c r="B11" s="11" t="s">
        <v>24</v>
      </c>
      <c r="C11" s="11" t="s">
        <v>11</v>
      </c>
      <c r="D11" s="11" t="s">
        <v>9</v>
      </c>
      <c r="E11" s="11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1">
    <dataValidation type="list" allowBlank="1" showInputMessage="1" showErrorMessage="1" sqref="G5" xr:uid="{8D3A29BF-90BE-413B-9AFD-60CDEFF4E0C2}">
      <formula1>$A$2:$A$11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"/>
  <sheetViews>
    <sheetView workbookViewId="0">
      <selection activeCell="E13" sqref="E13"/>
    </sheetView>
  </sheetViews>
  <sheetFormatPr defaultColWidth="14.44140625" defaultRowHeight="15" customHeight="1"/>
  <cols>
    <col min="1" max="1" width="14.33203125" customWidth="1"/>
    <col min="2" max="3" width="15.44140625" customWidth="1"/>
    <col min="4" max="5" width="11.6640625" customWidth="1"/>
    <col min="6" max="6" width="11.109375" customWidth="1"/>
    <col min="7" max="7" width="10" customWidth="1"/>
    <col min="8" max="11" width="8.6640625" customWidth="1"/>
  </cols>
  <sheetData>
    <row r="1" spans="1:8" ht="14.4">
      <c r="A1" s="10" t="s">
        <v>2</v>
      </c>
      <c r="B1" s="10" t="s">
        <v>32</v>
      </c>
      <c r="D1" s="10" t="s">
        <v>32</v>
      </c>
      <c r="E1" s="10" t="s">
        <v>3</v>
      </c>
      <c r="F1" s="10" t="s">
        <v>4</v>
      </c>
      <c r="G1" s="10" t="s">
        <v>5</v>
      </c>
      <c r="H1" s="10" t="s">
        <v>6</v>
      </c>
    </row>
    <row r="2" spans="1:8" ht="14.4">
      <c r="A2" s="11">
        <v>1001</v>
      </c>
      <c r="B2" s="11" t="s">
        <v>33</v>
      </c>
      <c r="D2" s="11" t="s">
        <v>33</v>
      </c>
      <c r="E2" s="11" t="s">
        <v>7</v>
      </c>
      <c r="F2" s="11" t="s">
        <v>8</v>
      </c>
      <c r="G2" s="11" t="s">
        <v>9</v>
      </c>
      <c r="H2" s="11">
        <v>45</v>
      </c>
    </row>
    <row r="3" spans="1:8" ht="14.4">
      <c r="A3" s="11">
        <v>1002</v>
      </c>
      <c r="B3" s="11" t="s">
        <v>34</v>
      </c>
      <c r="D3" s="11" t="s">
        <v>34</v>
      </c>
      <c r="E3" s="11" t="s">
        <v>10</v>
      </c>
      <c r="F3" s="11" t="s">
        <v>11</v>
      </c>
      <c r="G3" s="11" t="s">
        <v>12</v>
      </c>
      <c r="H3" s="11">
        <v>65</v>
      </c>
    </row>
    <row r="4" spans="1:8" ht="14.4">
      <c r="A4" s="11">
        <v>1003</v>
      </c>
      <c r="B4" s="11" t="s">
        <v>35</v>
      </c>
      <c r="D4" s="11" t="s">
        <v>35</v>
      </c>
      <c r="E4" s="11" t="s">
        <v>13</v>
      </c>
      <c r="F4" s="11" t="s">
        <v>14</v>
      </c>
      <c r="G4" s="11" t="s">
        <v>15</v>
      </c>
      <c r="H4" s="11">
        <v>32</v>
      </c>
    </row>
    <row r="5" spans="1:8" ht="14.4">
      <c r="A5" s="11">
        <v>1004</v>
      </c>
      <c r="B5" s="11" t="s">
        <v>36</v>
      </c>
      <c r="D5" s="11" t="s">
        <v>36</v>
      </c>
      <c r="E5" s="11" t="s">
        <v>16</v>
      </c>
      <c r="F5" s="11" t="s">
        <v>17</v>
      </c>
      <c r="G5" s="11" t="s">
        <v>9</v>
      </c>
      <c r="H5" s="11">
        <v>65</v>
      </c>
    </row>
    <row r="6" spans="1:8" ht="14.4">
      <c r="A6" s="11">
        <v>1005</v>
      </c>
      <c r="B6" s="11" t="s">
        <v>37</v>
      </c>
      <c r="D6" s="11" t="s">
        <v>37</v>
      </c>
      <c r="E6" s="11" t="s">
        <v>18</v>
      </c>
      <c r="F6" s="11" t="s">
        <v>8</v>
      </c>
      <c r="G6" s="11" t="s">
        <v>12</v>
      </c>
      <c r="H6" s="11">
        <v>98</v>
      </c>
    </row>
    <row r="7" spans="1:8" ht="14.4">
      <c r="A7" s="11">
        <v>1006</v>
      </c>
      <c r="B7" s="11" t="s">
        <v>38</v>
      </c>
      <c r="D7" s="11" t="s">
        <v>38</v>
      </c>
      <c r="E7" s="11" t="s">
        <v>19</v>
      </c>
      <c r="F7" s="11" t="s">
        <v>11</v>
      </c>
      <c r="G7" s="11" t="s">
        <v>15</v>
      </c>
      <c r="H7" s="11">
        <v>65</v>
      </c>
    </row>
    <row r="8" spans="1:8" ht="14.4">
      <c r="A8" s="11">
        <v>1007</v>
      </c>
      <c r="B8" s="11" t="s">
        <v>39</v>
      </c>
      <c r="D8" s="11" t="s">
        <v>39</v>
      </c>
      <c r="E8" s="11" t="s">
        <v>20</v>
      </c>
      <c r="F8" s="11" t="s">
        <v>17</v>
      </c>
      <c r="G8" s="11" t="s">
        <v>9</v>
      </c>
      <c r="H8" s="11">
        <v>32</v>
      </c>
    </row>
    <row r="9" spans="1:8" ht="14.4">
      <c r="A9" s="11">
        <v>1008</v>
      </c>
      <c r="B9" s="11" t="s">
        <v>40</v>
      </c>
      <c r="D9" s="11" t="s">
        <v>40</v>
      </c>
      <c r="E9" s="11" t="s">
        <v>21</v>
      </c>
      <c r="F9" s="11" t="s">
        <v>22</v>
      </c>
      <c r="G9" s="11" t="s">
        <v>12</v>
      </c>
      <c r="H9" s="11">
        <v>65</v>
      </c>
    </row>
    <row r="10" spans="1:8" ht="14.4">
      <c r="A10" s="11">
        <v>1009</v>
      </c>
      <c r="B10" s="11" t="s">
        <v>41</v>
      </c>
      <c r="D10" s="11" t="s">
        <v>41</v>
      </c>
      <c r="E10" s="11" t="s">
        <v>23</v>
      </c>
      <c r="F10" s="11" t="s">
        <v>22</v>
      </c>
      <c r="G10" s="11" t="s">
        <v>15</v>
      </c>
      <c r="H10" s="11">
        <v>54</v>
      </c>
    </row>
    <row r="11" spans="1:8" ht="14.4">
      <c r="A11" s="11">
        <v>1010</v>
      </c>
      <c r="B11" s="11" t="s">
        <v>42</v>
      </c>
      <c r="D11" s="11" t="s">
        <v>42</v>
      </c>
      <c r="E11" s="11" t="s">
        <v>24</v>
      </c>
      <c r="F11" s="11" t="s">
        <v>11</v>
      </c>
      <c r="G11" s="11" t="s">
        <v>9</v>
      </c>
      <c r="H11" s="11">
        <v>65</v>
      </c>
    </row>
    <row r="13" spans="1:8" ht="14.4"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</row>
    <row r="14" spans="1:8" ht="14.4">
      <c r="D14">
        <v>1003</v>
      </c>
      <c r="E14" t="str">
        <f>VLOOKUP(VLOOKUP($D$14,list3,2,0),list4,COLUMN()-3,0)</f>
        <v>Superman</v>
      </c>
      <c r="F14" t="str">
        <f>VLOOKUP(VLOOKUP($D$14,list3,2,0),list4,COLUMN()-3,0)</f>
        <v>Toothpaste</v>
      </c>
      <c r="G14" t="str">
        <f>VLOOKUP(VLOOKUP($D$14,list3,2,0),list4,COLUMN()-3,0)</f>
        <v>West City</v>
      </c>
      <c r="H14">
        <f>VLOOKUP(VLOOKUP($D$14,list3,2,0),list4,COLUMN()-3,0)</f>
        <v>32</v>
      </c>
    </row>
    <row r="16" spans="1:8" ht="15" customHeight="1">
      <c r="D16" s="10" t="s">
        <v>2</v>
      </c>
      <c r="E16" s="10" t="s">
        <v>3</v>
      </c>
      <c r="F16" s="10" t="s">
        <v>4</v>
      </c>
      <c r="G16" s="10" t="s">
        <v>5</v>
      </c>
      <c r="H16" s="10" t="s">
        <v>6</v>
      </c>
    </row>
    <row r="17" spans="4:14" ht="15" customHeight="1">
      <c r="D17">
        <v>1001</v>
      </c>
      <c r="E17" t="str">
        <f>IFERROR(VLOOKUP(VLOOKUP($D$17,list3,2,0),list4,COLUMN()-3,0),"INVALID")</f>
        <v>Shaktimaan</v>
      </c>
      <c r="F17" t="str">
        <f>IFERROR(VLOOKUP(VLOOKUP($D$17,list3,2,0),list4,COLUMN()-3,0),"INVALID")</f>
        <v>Iodex</v>
      </c>
      <c r="G17" t="str">
        <f>IFERROR(VLOOKUP(VLOOKUP($D$17,list3,2,0),list4,COLUMN()-3,0),"INVALID")</f>
        <v>South City</v>
      </c>
      <c r="H17">
        <f>IFERROR(VLOOKUP(VLOOKUP($D$17,list3,2,0),list4,COLUMN()-3,0),"INVALID")</f>
        <v>45</v>
      </c>
    </row>
    <row r="18" spans="4:14" ht="15" customHeight="1">
      <c r="E18" s="53">
        <f>COLUMN()</f>
        <v>5</v>
      </c>
    </row>
    <row r="19" spans="4:14" ht="15" customHeight="1">
      <c r="E19" s="54" t="s">
        <v>178</v>
      </c>
      <c r="F19" s="55"/>
      <c r="G19" s="55"/>
      <c r="H19" s="55"/>
      <c r="I19" s="55"/>
      <c r="J19" s="55"/>
      <c r="K19" s="55"/>
      <c r="L19" s="55"/>
      <c r="M19" s="55"/>
      <c r="N19" s="55"/>
    </row>
    <row r="20" spans="4:14" ht="15" customHeight="1"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4:14" ht="15.75" customHeight="1">
      <c r="E21" s="54" t="s">
        <v>179</v>
      </c>
      <c r="F21" s="55"/>
      <c r="G21" s="56" t="s">
        <v>180</v>
      </c>
      <c r="H21" s="55"/>
      <c r="I21" s="55"/>
      <c r="J21" s="55"/>
      <c r="K21" s="55"/>
      <c r="L21" s="55"/>
      <c r="M21" s="55"/>
      <c r="N21" s="55"/>
    </row>
    <row r="22" spans="4:14" ht="15.75" customHeight="1"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spans="4:14" ht="15.75" customHeight="1">
      <c r="E23" s="54" t="s">
        <v>181</v>
      </c>
      <c r="F23" s="55"/>
      <c r="G23" s="55"/>
      <c r="H23" s="55"/>
      <c r="I23" s="56" t="s">
        <v>182</v>
      </c>
      <c r="J23" s="55"/>
      <c r="K23" s="55"/>
      <c r="L23" s="55"/>
      <c r="M23" s="55"/>
      <c r="N23" s="55"/>
    </row>
    <row r="24" spans="4:14" ht="15.75" customHeight="1"/>
    <row r="25" spans="4:14" ht="15.75" customHeight="1"/>
    <row r="26" spans="4:14" ht="15.75" customHeight="1"/>
    <row r="27" spans="4:14" ht="15.75" customHeight="1"/>
    <row r="28" spans="4:14" ht="15.75" customHeight="1"/>
    <row r="29" spans="4:14" ht="15.75" customHeight="1"/>
    <row r="30" spans="4:14" ht="15.75" customHeight="1"/>
    <row r="31" spans="4:14" ht="15.75" customHeight="1"/>
    <row r="32" spans="4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2">
    <dataValidation type="list" allowBlank="1" showErrorMessage="1" sqref="D14" xr:uid="{00000000-0002-0000-0400-000000000000}">
      <formula1>$A$2:$A$11</formula1>
    </dataValidation>
    <dataValidation type="list" allowBlank="1" showInputMessage="1" showErrorMessage="1" sqref="D17" xr:uid="{1EF3C0DC-F29E-4E98-A984-76847EF96266}">
      <formula1>$A$2:$A$11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>
      <selection activeCell="G2" sqref="G2"/>
    </sheetView>
  </sheetViews>
  <sheetFormatPr defaultColWidth="14.44140625" defaultRowHeight="15" customHeight="1"/>
  <cols>
    <col min="1" max="1" width="14.88671875" customWidth="1"/>
    <col min="2" max="2" width="15.44140625" customWidth="1"/>
    <col min="3" max="3" width="12.88671875" customWidth="1"/>
    <col min="4" max="6" width="8.6640625" customWidth="1"/>
    <col min="7" max="7" width="11.88671875" customWidth="1"/>
    <col min="8" max="8" width="10.44140625" customWidth="1"/>
    <col min="9" max="11" width="8.6640625" customWidth="1"/>
  </cols>
  <sheetData>
    <row r="1" spans="1:12" ht="14.4">
      <c r="A1" s="10" t="s">
        <v>43</v>
      </c>
      <c r="B1" s="10" t="s">
        <v>4</v>
      </c>
      <c r="C1" s="10" t="s">
        <v>5</v>
      </c>
      <c r="D1" s="10" t="s">
        <v>6</v>
      </c>
      <c r="G1" s="14" t="s">
        <v>4</v>
      </c>
    </row>
    <row r="2" spans="1:12" ht="14.4">
      <c r="A2" s="11" t="str">
        <f t="shared" ref="A2:A11" si="0">B2&amp;COUNTIF($B$2:B2,B2)</f>
        <v>Iodex1</v>
      </c>
      <c r="B2" s="11" t="s">
        <v>8</v>
      </c>
      <c r="C2" s="11" t="s">
        <v>9</v>
      </c>
      <c r="D2" s="11">
        <v>45</v>
      </c>
      <c r="G2" t="s">
        <v>8</v>
      </c>
    </row>
    <row r="3" spans="1:12" ht="14.4">
      <c r="A3" s="11" t="str">
        <f t="shared" si="0"/>
        <v>Tigerbalm1</v>
      </c>
      <c r="B3" s="11" t="s">
        <v>11</v>
      </c>
      <c r="C3" s="11" t="s">
        <v>12</v>
      </c>
      <c r="D3" s="11">
        <v>65</v>
      </c>
    </row>
    <row r="4" spans="1:12" ht="14.4">
      <c r="A4" s="11" t="str">
        <f t="shared" si="0"/>
        <v>Toothpaste1</v>
      </c>
      <c r="B4" s="11" t="s">
        <v>14</v>
      </c>
      <c r="C4" s="11" t="s">
        <v>15</v>
      </c>
      <c r="D4" s="11">
        <v>32</v>
      </c>
      <c r="G4" s="10" t="s">
        <v>4</v>
      </c>
      <c r="H4" s="10" t="s">
        <v>5</v>
      </c>
      <c r="I4" s="10" t="s">
        <v>6</v>
      </c>
    </row>
    <row r="5" spans="1:12" ht="14.4">
      <c r="A5" s="11" t="str">
        <f t="shared" si="0"/>
        <v>Toothbrush1</v>
      </c>
      <c r="B5" s="11" t="s">
        <v>17</v>
      </c>
      <c r="C5" s="11" t="s">
        <v>9</v>
      </c>
      <c r="D5" s="11">
        <v>65</v>
      </c>
      <c r="G5" t="str">
        <f t="shared" ref="G5:I11" si="1">IFERROR(VLOOKUP($G$2&amp;ROW()-4,$A$1:$D$11,COLUMN()-5,0),"")</f>
        <v>Iodex</v>
      </c>
      <c r="H5" t="str">
        <f t="shared" si="1"/>
        <v>South City</v>
      </c>
      <c r="I5">
        <f t="shared" si="1"/>
        <v>45</v>
      </c>
    </row>
    <row r="6" spans="1:12" ht="14.4">
      <c r="A6" s="11" t="str">
        <f t="shared" si="0"/>
        <v>Iodex2</v>
      </c>
      <c r="B6" s="11" t="s">
        <v>8</v>
      </c>
      <c r="C6" s="11" t="s">
        <v>12</v>
      </c>
      <c r="D6" s="11">
        <v>98</v>
      </c>
      <c r="G6" t="str">
        <f t="shared" si="1"/>
        <v>Iodex</v>
      </c>
      <c r="H6" t="str">
        <f t="shared" si="1"/>
        <v>North City</v>
      </c>
      <c r="I6">
        <f t="shared" si="1"/>
        <v>98</v>
      </c>
    </row>
    <row r="7" spans="1:12" ht="14.4">
      <c r="A7" s="11" t="str">
        <f t="shared" si="0"/>
        <v>Tigerbalm2</v>
      </c>
      <c r="B7" s="11" t="s">
        <v>11</v>
      </c>
      <c r="C7" s="11" t="s">
        <v>15</v>
      </c>
      <c r="D7" s="11">
        <v>65</v>
      </c>
      <c r="G7" t="str">
        <f t="shared" si="1"/>
        <v/>
      </c>
      <c r="H7" t="str">
        <f t="shared" si="1"/>
        <v/>
      </c>
      <c r="I7" t="str">
        <f t="shared" si="1"/>
        <v/>
      </c>
    </row>
    <row r="8" spans="1:12" ht="14.4">
      <c r="A8" s="11" t="str">
        <f t="shared" si="0"/>
        <v>Toothbrush2</v>
      </c>
      <c r="B8" s="11" t="s">
        <v>17</v>
      </c>
      <c r="C8" s="11" t="s">
        <v>9</v>
      </c>
      <c r="D8" s="11">
        <v>32</v>
      </c>
      <c r="G8" t="str">
        <f t="shared" si="1"/>
        <v/>
      </c>
      <c r="H8" t="str">
        <f t="shared" si="1"/>
        <v/>
      </c>
      <c r="I8" t="str">
        <f t="shared" si="1"/>
        <v/>
      </c>
    </row>
    <row r="9" spans="1:12" ht="14.4">
      <c r="A9" s="11" t="str">
        <f t="shared" si="0"/>
        <v>Zandubalm1</v>
      </c>
      <c r="B9" s="11" t="s">
        <v>22</v>
      </c>
      <c r="C9" s="11" t="s">
        <v>12</v>
      </c>
      <c r="D9" s="11">
        <v>65</v>
      </c>
      <c r="G9" t="str">
        <f t="shared" si="1"/>
        <v/>
      </c>
      <c r="H9" t="str">
        <f t="shared" si="1"/>
        <v/>
      </c>
      <c r="I9" t="str">
        <f t="shared" si="1"/>
        <v/>
      </c>
    </row>
    <row r="10" spans="1:12" ht="14.4">
      <c r="A10" s="11" t="str">
        <f t="shared" si="0"/>
        <v>Zandubalm2</v>
      </c>
      <c r="B10" s="11" t="s">
        <v>22</v>
      </c>
      <c r="C10" s="11" t="s">
        <v>15</v>
      </c>
      <c r="D10" s="11">
        <v>54</v>
      </c>
      <c r="G10" t="str">
        <f t="shared" si="1"/>
        <v/>
      </c>
      <c r="H10" t="str">
        <f t="shared" si="1"/>
        <v/>
      </c>
      <c r="I10" t="str">
        <f t="shared" si="1"/>
        <v/>
      </c>
    </row>
    <row r="11" spans="1:12" ht="14.4">
      <c r="A11" s="11" t="str">
        <f t="shared" si="0"/>
        <v>Tigerbalm3</v>
      </c>
      <c r="B11" s="11" t="s">
        <v>11</v>
      </c>
      <c r="C11" s="11" t="s">
        <v>9</v>
      </c>
      <c r="D11" s="11">
        <v>65</v>
      </c>
      <c r="G11" t="str">
        <f t="shared" si="1"/>
        <v/>
      </c>
      <c r="H11" t="str">
        <f t="shared" si="1"/>
        <v/>
      </c>
      <c r="I11" t="str">
        <f t="shared" si="1"/>
        <v/>
      </c>
    </row>
    <row r="13" spans="1:12" ht="1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2" ht="15" customHeight="1">
      <c r="A14" s="57"/>
      <c r="B14" s="58" t="s">
        <v>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2" ht="15" customHeight="1">
      <c r="A15" s="57">
        <f>COUNTIF($B$15:B15,B15)</f>
        <v>1</v>
      </c>
      <c r="B15" s="59" t="s">
        <v>8</v>
      </c>
      <c r="C15" s="60" t="s">
        <v>183</v>
      </c>
      <c r="D15" s="57"/>
      <c r="E15" s="61" t="s">
        <v>184</v>
      </c>
      <c r="F15" s="57"/>
      <c r="G15" s="57"/>
      <c r="H15" s="57"/>
      <c r="I15" s="57"/>
      <c r="J15" s="57"/>
      <c r="K15" s="57"/>
      <c r="L15" s="57"/>
    </row>
    <row r="16" spans="1:12" ht="15" customHeight="1">
      <c r="A16" s="57">
        <f>COUNTIF($B$15:B16,B16)</f>
        <v>1</v>
      </c>
      <c r="B16" s="59" t="s">
        <v>11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</row>
    <row r="17" spans="1:12" ht="15" customHeight="1">
      <c r="A17" s="57">
        <f>COUNTIF($B$15:B17,B17)</f>
        <v>1</v>
      </c>
      <c r="B17" s="59" t="s">
        <v>14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 ht="15" customHeight="1">
      <c r="A18" s="57">
        <f>COUNTIF($B$15:B18,B18)</f>
        <v>1</v>
      </c>
      <c r="B18" s="59" t="s">
        <v>17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</row>
    <row r="19" spans="1:12" ht="15" customHeight="1">
      <c r="A19" s="57">
        <f>COUNTIF($B$15:B19,B19)</f>
        <v>2</v>
      </c>
      <c r="B19" s="59" t="s">
        <v>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0" spans="1:12" ht="15" customHeight="1">
      <c r="A20" s="57">
        <f>COUNTIF($B$15:B20,B20)</f>
        <v>2</v>
      </c>
      <c r="B20" s="59" t="s">
        <v>11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</row>
    <row r="21" spans="1:12" ht="15.75" customHeight="1">
      <c r="A21" s="57">
        <f>COUNTIF($B$15:B21,B21)</f>
        <v>2</v>
      </c>
      <c r="B21" s="59" t="s">
        <v>17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</row>
    <row r="22" spans="1:12" ht="15.75" customHeight="1">
      <c r="A22" s="57">
        <f>COUNTIF($B$15:B22,B22)</f>
        <v>1</v>
      </c>
      <c r="B22" s="59" t="s">
        <v>22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15.75" customHeight="1">
      <c r="A23" s="57">
        <f>COUNTIF($B$15:B23,B23)</f>
        <v>2</v>
      </c>
      <c r="B23" s="59" t="s">
        <v>22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</row>
    <row r="24" spans="1:12" ht="15.75" customHeight="1">
      <c r="A24" s="57">
        <f>COUNTIF($B$15:B24,B24)</f>
        <v>3</v>
      </c>
      <c r="B24" s="59" t="s">
        <v>11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spans="1:12" ht="15.7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</row>
    <row r="26" spans="1:12" ht="15.7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</row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1">
    <dataValidation type="list" allowBlank="1" showErrorMessage="1" sqref="G2" xr:uid="{00000000-0002-0000-0500-000000000000}">
      <formula1>"Iodex,Tigerbalm,Toothpaste,Toothbrush,Zandubalm"</formula1>
    </dataValidation>
  </dataValidation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topLeftCell="A12" workbookViewId="0">
      <selection activeCell="F30" sqref="F30"/>
    </sheetView>
  </sheetViews>
  <sheetFormatPr defaultColWidth="14.44140625" defaultRowHeight="15" customHeight="1"/>
  <cols>
    <col min="1" max="1" width="14.33203125" customWidth="1"/>
    <col min="2" max="2" width="15.44140625" customWidth="1"/>
    <col min="3" max="3" width="11.33203125" customWidth="1"/>
    <col min="4" max="4" width="11.109375" customWidth="1"/>
    <col min="5" max="5" width="10" customWidth="1"/>
    <col min="6" max="6" width="9.5546875" bestFit="1" customWidth="1"/>
    <col min="7" max="7" width="61.6640625" bestFit="1" customWidth="1"/>
    <col min="8" max="8" width="8.6640625" customWidth="1"/>
    <col min="9" max="9" width="23.109375" customWidth="1"/>
    <col min="10" max="11" width="8.6640625" customWidth="1"/>
  </cols>
  <sheetData>
    <row r="1" spans="1:9" ht="14.4">
      <c r="A1" s="10" t="s">
        <v>32</v>
      </c>
      <c r="B1" s="10" t="s">
        <v>44</v>
      </c>
      <c r="C1" s="10" t="s">
        <v>3</v>
      </c>
      <c r="D1" s="10" t="s">
        <v>4</v>
      </c>
      <c r="E1" s="10" t="s">
        <v>5</v>
      </c>
      <c r="F1" s="10" t="s">
        <v>6</v>
      </c>
      <c r="H1" s="82" t="s">
        <v>32</v>
      </c>
      <c r="I1" s="74"/>
    </row>
    <row r="2" spans="1:9" ht="14.4">
      <c r="A2" s="11">
        <v>1231</v>
      </c>
      <c r="B2" s="11" t="s">
        <v>45</v>
      </c>
      <c r="C2" s="11" t="s">
        <v>7</v>
      </c>
      <c r="D2" s="11" t="s">
        <v>8</v>
      </c>
      <c r="E2" s="11" t="s">
        <v>9</v>
      </c>
      <c r="F2" s="11">
        <v>45</v>
      </c>
      <c r="H2" s="83"/>
      <c r="I2" s="84"/>
    </row>
    <row r="3" spans="1:9" ht="14.4">
      <c r="A3" s="11">
        <v>1232</v>
      </c>
      <c r="B3" s="11" t="s">
        <v>46</v>
      </c>
      <c r="C3" s="11" t="s">
        <v>10</v>
      </c>
      <c r="D3" s="11" t="s">
        <v>11</v>
      </c>
      <c r="E3" s="11" t="s">
        <v>12</v>
      </c>
      <c r="F3" s="11">
        <v>65</v>
      </c>
      <c r="H3" s="85">
        <v>1234</v>
      </c>
      <c r="I3" s="86"/>
    </row>
    <row r="4" spans="1:9" ht="14.4">
      <c r="A4" s="11">
        <v>1233</v>
      </c>
      <c r="B4" s="11" t="s">
        <v>47</v>
      </c>
      <c r="C4" s="11" t="s">
        <v>13</v>
      </c>
      <c r="D4" s="11" t="s">
        <v>14</v>
      </c>
      <c r="E4" s="11" t="s">
        <v>15</v>
      </c>
      <c r="F4" s="11">
        <v>32</v>
      </c>
      <c r="H4" s="86"/>
      <c r="I4" s="86"/>
    </row>
    <row r="5" spans="1:9" ht="14.4">
      <c r="A5" s="11">
        <v>1234</v>
      </c>
      <c r="B5" s="11" t="s">
        <v>48</v>
      </c>
      <c r="C5" s="11" t="s">
        <v>16</v>
      </c>
      <c r="D5" s="11" t="s">
        <v>17</v>
      </c>
      <c r="E5" s="11" t="s">
        <v>9</v>
      </c>
      <c r="F5" s="11">
        <v>65</v>
      </c>
      <c r="H5" s="10" t="s">
        <v>3</v>
      </c>
      <c r="I5" t="str">
        <f>IFERROR(VLOOKUP($H$3,list5,ROW()-2,0),VLOOKUP($H$3,list6,ROW()-3,0))</f>
        <v>Thor</v>
      </c>
    </row>
    <row r="6" spans="1:9" ht="14.4">
      <c r="A6" s="11">
        <v>1235</v>
      </c>
      <c r="B6" s="11" t="s">
        <v>49</v>
      </c>
      <c r="C6" s="11" t="s">
        <v>18</v>
      </c>
      <c r="D6" s="11" t="s">
        <v>8</v>
      </c>
      <c r="E6" s="11" t="s">
        <v>12</v>
      </c>
      <c r="F6" s="11">
        <v>98</v>
      </c>
      <c r="H6" s="10" t="s">
        <v>4</v>
      </c>
      <c r="I6" t="str">
        <f>IFERROR(VLOOKUP($H$3,list5,ROW()-2,0),VLOOKUP($H$3,list6,ROW()-3,0))</f>
        <v>Toothbrush</v>
      </c>
    </row>
    <row r="7" spans="1:9" ht="14.4">
      <c r="A7" s="11">
        <v>1236</v>
      </c>
      <c r="B7" s="11" t="s">
        <v>50</v>
      </c>
      <c r="C7" s="11" t="s">
        <v>19</v>
      </c>
      <c r="D7" s="11" t="s">
        <v>11</v>
      </c>
      <c r="E7" s="11" t="s">
        <v>15</v>
      </c>
      <c r="F7" s="11">
        <v>65</v>
      </c>
      <c r="H7" s="10" t="s">
        <v>5</v>
      </c>
      <c r="I7" t="str">
        <f>IFERROR(VLOOKUP($H$3,list5,ROW()-2,0),VLOOKUP($H$3,list6,ROW()-3,0))</f>
        <v>South City</v>
      </c>
    </row>
    <row r="8" spans="1:9" ht="14.4">
      <c r="A8" s="11">
        <v>1237</v>
      </c>
      <c r="B8" s="11" t="s">
        <v>51</v>
      </c>
      <c r="C8" s="11" t="s">
        <v>20</v>
      </c>
      <c r="D8" s="11" t="s">
        <v>17</v>
      </c>
      <c r="E8" s="11" t="s">
        <v>9</v>
      </c>
      <c r="F8" s="11">
        <v>32</v>
      </c>
      <c r="H8" s="10" t="s">
        <v>6</v>
      </c>
      <c r="I8">
        <f>IFERROR(VLOOKUP($H$3,list5,ROW()-2,0),VLOOKUP($H$3,list6,ROW()-3,0))</f>
        <v>65</v>
      </c>
    </row>
    <row r="9" spans="1:9" ht="14.4">
      <c r="A9" s="11">
        <v>1238</v>
      </c>
      <c r="B9" s="11" t="s">
        <v>52</v>
      </c>
      <c r="C9" s="11" t="s">
        <v>21</v>
      </c>
      <c r="D9" s="11" t="s">
        <v>22</v>
      </c>
      <c r="E9" s="11" t="s">
        <v>12</v>
      </c>
      <c r="F9" s="11">
        <v>65</v>
      </c>
    </row>
    <row r="10" spans="1:9" ht="14.4">
      <c r="A10" s="11">
        <v>1239</v>
      </c>
      <c r="B10" s="11" t="s">
        <v>53</v>
      </c>
      <c r="C10" s="11" t="s">
        <v>23</v>
      </c>
      <c r="D10" s="11" t="s">
        <v>22</v>
      </c>
      <c r="E10" s="11" t="s">
        <v>15</v>
      </c>
      <c r="F10" s="11">
        <v>54</v>
      </c>
    </row>
    <row r="11" spans="1:9" ht="14.4">
      <c r="A11" s="11">
        <v>1240</v>
      </c>
      <c r="B11" s="11" t="s">
        <v>54</v>
      </c>
      <c r="C11" s="11" t="s">
        <v>24</v>
      </c>
      <c r="D11" s="11" t="s">
        <v>11</v>
      </c>
      <c r="E11" s="11" t="s">
        <v>9</v>
      </c>
      <c r="F11" s="11">
        <v>65</v>
      </c>
    </row>
    <row r="14" spans="1:9" ht="15" customHeight="1">
      <c r="A14" s="10" t="s">
        <v>32</v>
      </c>
      <c r="B14" s="10" t="s">
        <v>44</v>
      </c>
      <c r="C14" s="10" t="s">
        <v>3</v>
      </c>
      <c r="D14" s="10" t="s">
        <v>4</v>
      </c>
      <c r="E14" s="10" t="s">
        <v>5</v>
      </c>
      <c r="F14" s="10" t="s">
        <v>6</v>
      </c>
    </row>
    <row r="15" spans="1:9" ht="15" customHeight="1">
      <c r="A15" s="11">
        <v>1231</v>
      </c>
      <c r="B15" s="11" t="s">
        <v>45</v>
      </c>
      <c r="C15" s="11" t="s">
        <v>7</v>
      </c>
      <c r="D15" s="11" t="s">
        <v>8</v>
      </c>
      <c r="E15" s="11" t="s">
        <v>9</v>
      </c>
      <c r="F15" s="11">
        <v>45</v>
      </c>
      <c r="I15" t="s">
        <v>32</v>
      </c>
    </row>
    <row r="16" spans="1:9" ht="15" customHeight="1">
      <c r="A16" s="11">
        <v>1232</v>
      </c>
      <c r="B16" s="11" t="s">
        <v>46</v>
      </c>
      <c r="C16" s="11" t="s">
        <v>10</v>
      </c>
      <c r="D16" s="11" t="s">
        <v>11</v>
      </c>
      <c r="E16" s="11" t="s">
        <v>12</v>
      </c>
      <c r="F16" s="11">
        <v>65</v>
      </c>
    </row>
    <row r="17" spans="1:9" ht="15" customHeight="1">
      <c r="A17" s="11">
        <v>1233</v>
      </c>
      <c r="B17" s="11" t="s">
        <v>47</v>
      </c>
      <c r="C17" s="11" t="s">
        <v>13</v>
      </c>
      <c r="D17" s="11" t="s">
        <v>14</v>
      </c>
      <c r="E17" s="11" t="s">
        <v>15</v>
      </c>
      <c r="F17" s="11">
        <v>32</v>
      </c>
    </row>
    <row r="18" spans="1:9" ht="15" customHeight="1">
      <c r="A18" s="11">
        <v>1234</v>
      </c>
      <c r="B18" s="11" t="s">
        <v>48</v>
      </c>
      <c r="C18" s="11" t="s">
        <v>16</v>
      </c>
      <c r="D18" s="11" t="s">
        <v>17</v>
      </c>
      <c r="E18" s="11" t="s">
        <v>9</v>
      </c>
      <c r="F18" s="11">
        <v>65</v>
      </c>
    </row>
    <row r="19" spans="1:9" ht="15" customHeight="1">
      <c r="A19" s="11">
        <v>1235</v>
      </c>
      <c r="B19" s="11" t="s">
        <v>49</v>
      </c>
      <c r="C19" s="11" t="s">
        <v>18</v>
      </c>
      <c r="D19" s="11" t="s">
        <v>8</v>
      </c>
      <c r="E19" s="11" t="s">
        <v>12</v>
      </c>
      <c r="F19" s="11">
        <v>98</v>
      </c>
      <c r="I19" s="10" t="s">
        <v>3</v>
      </c>
    </row>
    <row r="20" spans="1:9" ht="15" customHeight="1">
      <c r="A20" s="11">
        <v>1236</v>
      </c>
      <c r="B20" s="11" t="s">
        <v>50</v>
      </c>
      <c r="C20" s="11" t="s">
        <v>19</v>
      </c>
      <c r="D20" s="11" t="s">
        <v>11</v>
      </c>
      <c r="E20" s="11" t="s">
        <v>15</v>
      </c>
      <c r="F20" s="11">
        <v>65</v>
      </c>
      <c r="I20" s="10" t="s">
        <v>4</v>
      </c>
    </row>
    <row r="21" spans="1:9" ht="15.75" customHeight="1">
      <c r="A21" s="11">
        <v>1237</v>
      </c>
      <c r="B21" s="11" t="s">
        <v>51</v>
      </c>
      <c r="C21" s="11" t="s">
        <v>20</v>
      </c>
      <c r="D21" s="11" t="s">
        <v>17</v>
      </c>
      <c r="E21" s="11" t="s">
        <v>9</v>
      </c>
      <c r="F21" s="11">
        <v>32</v>
      </c>
      <c r="I21" s="10" t="s">
        <v>5</v>
      </c>
    </row>
    <row r="22" spans="1:9" ht="15.75" customHeight="1">
      <c r="A22" s="11">
        <v>1238</v>
      </c>
      <c r="B22" s="11" t="s">
        <v>52</v>
      </c>
      <c r="C22" s="11" t="s">
        <v>21</v>
      </c>
      <c r="D22" s="11" t="s">
        <v>22</v>
      </c>
      <c r="E22" s="11" t="s">
        <v>12</v>
      </c>
      <c r="F22" s="11">
        <v>65</v>
      </c>
      <c r="I22" s="10" t="s">
        <v>6</v>
      </c>
    </row>
    <row r="23" spans="1:9" ht="15.75" customHeight="1">
      <c r="A23" s="11">
        <v>1239</v>
      </c>
      <c r="B23" s="11" t="s">
        <v>53</v>
      </c>
      <c r="C23" s="11" t="s">
        <v>23</v>
      </c>
      <c r="D23" s="11" t="s">
        <v>22</v>
      </c>
      <c r="E23" s="11" t="s">
        <v>15</v>
      </c>
      <c r="F23" s="11">
        <v>54</v>
      </c>
    </row>
    <row r="24" spans="1:9" ht="15.75" customHeight="1">
      <c r="A24" s="11">
        <v>1240</v>
      </c>
      <c r="B24" s="11" t="s">
        <v>54</v>
      </c>
      <c r="C24" s="11" t="s">
        <v>24</v>
      </c>
      <c r="D24" s="11" t="s">
        <v>11</v>
      </c>
      <c r="E24" s="11" t="s">
        <v>9</v>
      </c>
      <c r="F24" s="11">
        <v>65</v>
      </c>
    </row>
    <row r="25" spans="1:9" ht="15.75" customHeight="1"/>
    <row r="26" spans="1:9" ht="15.75" customHeight="1"/>
    <row r="27" spans="1:9" ht="15.75" customHeight="1">
      <c r="F27" s="41">
        <f>MATCH(I15,A14:F14,0)</f>
        <v>1</v>
      </c>
      <c r="G27" s="52" t="s">
        <v>185</v>
      </c>
    </row>
    <row r="28" spans="1:9" ht="15.75" customHeight="1">
      <c r="F28" t="str">
        <f t="array" ref="F28">INDEX($A$14:$F$24,0,F27)</f>
        <v>Product ID</v>
      </c>
      <c r="G28" s="52" t="s">
        <v>186</v>
      </c>
      <c r="H28" t="s">
        <v>187</v>
      </c>
    </row>
    <row r="29" spans="1:9" ht="15.75" customHeight="1">
      <c r="F29" t="e">
        <f t="array" ref="F29">INDEX($A$14:$F$24,0,F28)</f>
        <v>#VALUE!</v>
      </c>
    </row>
    <row r="30" spans="1:9" ht="15.75" customHeight="1">
      <c r="F30" t="e">
        <f t="array" ref="F30">INDEX($A$14:$F$24,0,F29)</f>
        <v>#VALUE!</v>
      </c>
    </row>
    <row r="31" spans="1:9" ht="15.75" customHeight="1">
      <c r="F31" t="e">
        <f t="array" ref="F31">INDEX($A$14:$F$24,0,F30)</f>
        <v>#VALUE!</v>
      </c>
    </row>
    <row r="32" spans="1:9" ht="15.75" customHeight="1">
      <c r="F32" t="e">
        <f t="array" ref="F32">INDEX($A$14:$F$24,0,F31)</f>
        <v>#VALUE!</v>
      </c>
    </row>
    <row r="33" spans="6:6" ht="15.75" customHeight="1">
      <c r="F33" t="e">
        <f t="array" ref="F33">INDEX($A$14:$F$24,0,F32)</f>
        <v>#VALUE!</v>
      </c>
    </row>
    <row r="34" spans="6:6" ht="15.75" customHeight="1">
      <c r="F34" t="e">
        <f t="array" ref="F34">INDEX($A$14:$F$24,0,F33)</f>
        <v>#VALUE!</v>
      </c>
    </row>
    <row r="35" spans="6:6" ht="15.75" customHeight="1">
      <c r="F35" t="e">
        <f t="array" ref="F35">INDEX($A$14:$F$24,0,F34)</f>
        <v>#VALUE!</v>
      </c>
    </row>
    <row r="36" spans="6:6" ht="15.75" customHeight="1">
      <c r="F36" t="e">
        <f t="array" ref="F36">INDEX($A$14:$F$24,0,F35)</f>
        <v>#VALUE!</v>
      </c>
    </row>
    <row r="37" spans="6:6" ht="15.75" customHeight="1"/>
    <row r="38" spans="6:6" ht="15.75" customHeight="1"/>
    <row r="39" spans="6:6" ht="15.75" customHeight="1"/>
    <row r="40" spans="6:6" ht="15.75" customHeight="1"/>
    <row r="41" spans="6:6" ht="15.75" customHeight="1"/>
    <row r="42" spans="6:6" ht="15.75" customHeight="1"/>
    <row r="43" spans="6:6" ht="15.75" customHeight="1"/>
    <row r="44" spans="6:6" ht="15.75" customHeight="1"/>
    <row r="45" spans="6:6" ht="15.75" customHeight="1"/>
    <row r="46" spans="6:6" ht="15.75" customHeight="1"/>
    <row r="47" spans="6:6" ht="15.75" customHeight="1"/>
    <row r="48" spans="6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H1:I2"/>
    <mergeCell ref="H3:I4"/>
  </mergeCells>
  <dataValidations disablePrompts="1" count="3">
    <dataValidation type="list" allowBlank="1" showErrorMessage="1" sqref="H3" xr:uid="{00000000-0002-0000-0600-000000000000}">
      <formula1>INDEX($A$1:$F$11,0,MATCH($H$1,$A$1:$B$1,0))</formula1>
    </dataValidation>
    <dataValidation type="list" allowBlank="1" showErrorMessage="1" sqref="H1" xr:uid="{00000000-0002-0000-0600-000001000000}">
      <formula1>$A$1:$B$1</formula1>
    </dataValidation>
    <dataValidation type="list" allowBlank="1" showInputMessage="1" showErrorMessage="1" sqref="I15" xr:uid="{DAC48796-D660-4FE7-A8DE-7712F5370CBF}">
      <formula1>$A$14:$B$14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activeCell="H21" sqref="H21"/>
    </sheetView>
  </sheetViews>
  <sheetFormatPr defaultColWidth="14.44140625" defaultRowHeight="15" customHeight="1"/>
  <cols>
    <col min="1" max="1" width="13.5546875" customWidth="1"/>
    <col min="2" max="2" width="13.109375" customWidth="1"/>
    <col min="3" max="4" width="8.6640625" customWidth="1"/>
    <col min="5" max="5" width="18.44140625" customWidth="1"/>
    <col min="6" max="6" width="11.88671875" customWidth="1"/>
    <col min="7" max="7" width="14.5546875" customWidth="1"/>
    <col min="8" max="8" width="11.6640625" bestFit="1" customWidth="1"/>
    <col min="9" max="9" width="8.6640625" bestFit="1" customWidth="1"/>
    <col min="10" max="10" width="10.33203125" bestFit="1" customWidth="1"/>
    <col min="11" max="11" width="8" bestFit="1" customWidth="1"/>
  </cols>
  <sheetData>
    <row r="1" spans="1:11" ht="14.4">
      <c r="A1" s="15" t="s">
        <v>55</v>
      </c>
      <c r="B1" s="15"/>
      <c r="C1" s="15"/>
    </row>
    <row r="3" spans="1:11" ht="14.4">
      <c r="A3" s="11" t="s">
        <v>56</v>
      </c>
      <c r="B3" s="16">
        <v>44044</v>
      </c>
      <c r="C3" s="11"/>
      <c r="E3" s="11" t="s">
        <v>57</v>
      </c>
      <c r="F3" s="16">
        <v>44045</v>
      </c>
      <c r="G3" s="11"/>
      <c r="I3" s="11" t="s">
        <v>58</v>
      </c>
      <c r="J3" s="16">
        <v>44046</v>
      </c>
      <c r="K3" s="11"/>
    </row>
    <row r="4" spans="1:11" ht="14.4">
      <c r="A4" s="13" t="s">
        <v>59</v>
      </c>
      <c r="B4" s="13" t="s">
        <v>4</v>
      </c>
      <c r="C4" s="13" t="s">
        <v>60</v>
      </c>
      <c r="E4" s="13" t="s">
        <v>59</v>
      </c>
      <c r="F4" s="13" t="s">
        <v>4</v>
      </c>
      <c r="G4" s="13" t="s">
        <v>60</v>
      </c>
      <c r="I4" s="13" t="s">
        <v>59</v>
      </c>
      <c r="J4" s="13" t="s">
        <v>4</v>
      </c>
      <c r="K4" s="13" t="s">
        <v>60</v>
      </c>
    </row>
    <row r="5" spans="1:11" ht="14.4">
      <c r="A5" s="11">
        <v>1001</v>
      </c>
      <c r="B5" s="11" t="s">
        <v>61</v>
      </c>
      <c r="C5" s="11">
        <v>20</v>
      </c>
      <c r="E5" s="11">
        <v>1011</v>
      </c>
      <c r="F5" s="11" t="s">
        <v>62</v>
      </c>
      <c r="G5" s="11">
        <v>45</v>
      </c>
      <c r="I5" s="11">
        <v>1021</v>
      </c>
      <c r="J5" s="11" t="s">
        <v>63</v>
      </c>
      <c r="K5" s="11">
        <v>67</v>
      </c>
    </row>
    <row r="6" spans="1:11" ht="14.4">
      <c r="A6" s="11">
        <v>1002</v>
      </c>
      <c r="B6" s="11" t="s">
        <v>63</v>
      </c>
      <c r="C6" s="11">
        <v>25</v>
      </c>
      <c r="E6" s="11">
        <v>1012</v>
      </c>
      <c r="F6" s="11" t="s">
        <v>64</v>
      </c>
      <c r="G6" s="11">
        <v>35</v>
      </c>
      <c r="I6" s="11">
        <v>1022</v>
      </c>
      <c r="J6" s="11" t="s">
        <v>62</v>
      </c>
      <c r="K6" s="11">
        <v>87</v>
      </c>
    </row>
    <row r="7" spans="1:11" ht="14.4">
      <c r="A7" s="11">
        <v>1003</v>
      </c>
      <c r="B7" s="11" t="s">
        <v>64</v>
      </c>
      <c r="C7" s="11">
        <v>30</v>
      </c>
      <c r="E7" s="11">
        <v>1013</v>
      </c>
      <c r="F7" s="11" t="s">
        <v>61</v>
      </c>
      <c r="G7" s="11">
        <v>25</v>
      </c>
      <c r="I7" s="11">
        <v>1023</v>
      </c>
      <c r="J7" s="11" t="s">
        <v>65</v>
      </c>
      <c r="K7" s="11">
        <v>90</v>
      </c>
    </row>
    <row r="8" spans="1:11" ht="14.4">
      <c r="A8" s="11">
        <v>1004</v>
      </c>
      <c r="B8" s="11" t="s">
        <v>64</v>
      </c>
      <c r="C8" s="11">
        <v>35</v>
      </c>
      <c r="E8" s="11">
        <v>1014</v>
      </c>
      <c r="F8" s="11" t="s">
        <v>64</v>
      </c>
      <c r="G8" s="11">
        <v>25</v>
      </c>
      <c r="I8" s="11">
        <v>1024</v>
      </c>
      <c r="J8" s="11" t="s">
        <v>63</v>
      </c>
      <c r="K8" s="11">
        <v>35</v>
      </c>
    </row>
    <row r="9" spans="1:11" ht="14.4">
      <c r="A9" s="11">
        <v>1005</v>
      </c>
      <c r="B9" s="11" t="s">
        <v>65</v>
      </c>
      <c r="C9" s="11">
        <v>40</v>
      </c>
      <c r="E9" s="11">
        <v>1015</v>
      </c>
      <c r="F9" s="11" t="s">
        <v>61</v>
      </c>
      <c r="G9" s="11">
        <v>25</v>
      </c>
      <c r="I9" s="11">
        <v>1025</v>
      </c>
      <c r="J9" s="11" t="s">
        <v>64</v>
      </c>
      <c r="K9" s="11">
        <v>40</v>
      </c>
    </row>
    <row r="10" spans="1:11" ht="14.4">
      <c r="A10" s="11">
        <v>1006</v>
      </c>
      <c r="B10" s="11" t="s">
        <v>66</v>
      </c>
      <c r="C10" s="11">
        <v>45</v>
      </c>
      <c r="E10" s="11">
        <v>1016</v>
      </c>
      <c r="F10" s="11" t="s">
        <v>66</v>
      </c>
      <c r="G10" s="11">
        <v>25</v>
      </c>
      <c r="I10" s="11">
        <v>1026</v>
      </c>
      <c r="J10" s="11" t="s">
        <v>66</v>
      </c>
      <c r="K10" s="11">
        <v>23</v>
      </c>
    </row>
    <row r="11" spans="1:11" ht="14.4">
      <c r="A11" s="11">
        <v>1007</v>
      </c>
      <c r="B11" s="11" t="s">
        <v>67</v>
      </c>
      <c r="C11" s="11">
        <v>50</v>
      </c>
      <c r="E11" s="11">
        <v>1017</v>
      </c>
      <c r="F11" s="11" t="s">
        <v>67</v>
      </c>
      <c r="G11" s="11">
        <v>25</v>
      </c>
      <c r="I11" s="11">
        <v>1027</v>
      </c>
      <c r="J11" s="11" t="s">
        <v>67</v>
      </c>
      <c r="K11" s="11">
        <v>65</v>
      </c>
    </row>
    <row r="12" spans="1:11" ht="14.4">
      <c r="A12" s="11">
        <v>1008</v>
      </c>
      <c r="B12" s="11" t="s">
        <v>68</v>
      </c>
      <c r="C12" s="11">
        <v>55</v>
      </c>
      <c r="E12" s="11">
        <v>1018</v>
      </c>
      <c r="F12" s="11" t="s">
        <v>66</v>
      </c>
      <c r="G12" s="11">
        <v>25</v>
      </c>
      <c r="I12" s="11">
        <v>1028</v>
      </c>
      <c r="J12" s="11" t="s">
        <v>65</v>
      </c>
      <c r="K12" s="11">
        <v>87</v>
      </c>
    </row>
    <row r="13" spans="1:11" ht="14.4">
      <c r="A13" s="11">
        <v>1009</v>
      </c>
      <c r="B13" s="11" t="s">
        <v>67</v>
      </c>
      <c r="C13" s="11">
        <v>60</v>
      </c>
      <c r="E13" s="11">
        <v>1019</v>
      </c>
      <c r="F13" s="11" t="s">
        <v>62</v>
      </c>
      <c r="G13" s="11">
        <v>34</v>
      </c>
      <c r="I13" s="11">
        <v>1029</v>
      </c>
      <c r="J13" s="11" t="s">
        <v>68</v>
      </c>
      <c r="K13" s="11">
        <v>98</v>
      </c>
    </row>
    <row r="14" spans="1:11" ht="14.4">
      <c r="A14" s="11">
        <v>1010</v>
      </c>
      <c r="B14" s="11" t="s">
        <v>63</v>
      </c>
      <c r="C14" s="11">
        <v>65</v>
      </c>
      <c r="E14" s="11">
        <v>1020</v>
      </c>
      <c r="F14" s="11" t="s">
        <v>64</v>
      </c>
      <c r="G14" s="11">
        <v>55</v>
      </c>
      <c r="I14" s="11">
        <v>1030</v>
      </c>
      <c r="J14" s="11" t="s">
        <v>61</v>
      </c>
      <c r="K14" s="11">
        <v>70</v>
      </c>
    </row>
    <row r="17" spans="5:9" ht="14.4">
      <c r="E17" s="11" t="s">
        <v>69</v>
      </c>
      <c r="F17" s="11">
        <v>1021</v>
      </c>
      <c r="H17" s="62" t="s">
        <v>69</v>
      </c>
      <c r="I17" s="63">
        <v>1021</v>
      </c>
    </row>
    <row r="18" spans="5:9" ht="14.4">
      <c r="E18" s="11" t="s">
        <v>4</v>
      </c>
      <c r="F18" s="11" t="str">
        <f>VLOOKUP($F$17,IF($F$17&lt;=1010,Data1,IF($F$17&lt;=1020,Data2,IF($F$17&lt;=1030,Data3))),ROW()-16,0)</f>
        <v>LCD</v>
      </c>
      <c r="H18" s="62" t="s">
        <v>4</v>
      </c>
      <c r="I18" s="63" t="str">
        <f>VLOOKUP($I$17,IF($I$17&lt;=1010,Data1,IF($I$17&lt;=1020,Data2,IF($I$17&lt;=1030,Data3))),ROW()-16,0)</f>
        <v>LCD</v>
      </c>
    </row>
    <row r="19" spans="5:9" ht="14.4">
      <c r="E19" s="11" t="s">
        <v>60</v>
      </c>
      <c r="F19" s="11">
        <f>VLOOKUP($F$17,IF($F$17&lt;=1010,Data1,IF($F$17&lt;=1020,Data2,IF($F$17&lt;=1030,Data3))),ROW()-16,0)</f>
        <v>67</v>
      </c>
      <c r="H19" s="62" t="s">
        <v>60</v>
      </c>
      <c r="I19" s="63">
        <f>VLOOKUP($I$17,IF($I$17&lt;=1010,Data1,IF($I$17&lt;=1020,Data2,IF($I$17&lt;=1030,Data3))),ROW()-16,0)</f>
        <v>67</v>
      </c>
    </row>
    <row r="21" spans="5:9" ht="15.75" customHeight="1"/>
    <row r="22" spans="5:9" ht="15.75" customHeight="1"/>
    <row r="23" spans="5:9" ht="15.75" customHeight="1"/>
    <row r="24" spans="5:9" ht="15.75" customHeight="1"/>
    <row r="25" spans="5:9" ht="15.75" customHeight="1"/>
    <row r="26" spans="5:9" ht="15.75" customHeight="1"/>
    <row r="27" spans="5:9" ht="15.75" customHeight="1"/>
    <row r="28" spans="5:9" ht="15.75" customHeight="1"/>
    <row r="29" spans="5:9" ht="15.75" customHeight="1"/>
    <row r="30" spans="5:9" ht="15.75" customHeight="1"/>
    <row r="31" spans="5:9" ht="15.75" customHeight="1"/>
    <row r="32" spans="5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"/>
  <sheetViews>
    <sheetView workbookViewId="0">
      <selection sqref="A1:D1"/>
    </sheetView>
  </sheetViews>
  <sheetFormatPr defaultColWidth="14.44140625" defaultRowHeight="15" customHeight="1"/>
  <cols>
    <col min="1" max="1" width="8.6640625" customWidth="1"/>
    <col min="2" max="2" width="11.33203125" customWidth="1"/>
    <col min="3" max="11" width="8.6640625" customWidth="1"/>
  </cols>
  <sheetData>
    <row r="1" spans="1:4" ht="14.4">
      <c r="A1" s="87" t="s">
        <v>70</v>
      </c>
      <c r="B1" s="88"/>
      <c r="C1" s="88"/>
      <c r="D1" s="89"/>
    </row>
    <row r="2" spans="1:4" ht="14.4">
      <c r="A2" s="13" t="s">
        <v>59</v>
      </c>
      <c r="B2" s="13" t="s">
        <v>4</v>
      </c>
      <c r="C2" s="13" t="s">
        <v>60</v>
      </c>
      <c r="D2" s="13" t="s">
        <v>5</v>
      </c>
    </row>
    <row r="3" spans="1:4" ht="14.4">
      <c r="A3" s="11">
        <v>1001</v>
      </c>
      <c r="B3" s="11" t="str">
        <f t="shared" ref="B3:B12" si="0">VLOOKUP(A3,ProductT,2,0)</f>
        <v>Keyboard</v>
      </c>
      <c r="C3" s="11">
        <f t="shared" ref="C3:C12" si="1">VLOOKUP(A3,Qty,2,0)</f>
        <v>45</v>
      </c>
      <c r="D3" s="11" t="str">
        <f t="shared" ref="D3:D12" si="2">VLOOKUP(A3,ZoneT,2,0)</f>
        <v>South</v>
      </c>
    </row>
    <row r="4" spans="1:4" ht="14.4">
      <c r="A4" s="11">
        <v>1002</v>
      </c>
      <c r="B4" s="11" t="str">
        <f t="shared" si="0"/>
        <v>LCD</v>
      </c>
      <c r="C4" s="11">
        <f t="shared" si="1"/>
        <v>35</v>
      </c>
      <c r="D4" s="11" t="str">
        <f t="shared" si="2"/>
        <v>West</v>
      </c>
    </row>
    <row r="5" spans="1:4" ht="14.4">
      <c r="A5" s="11">
        <v>1003</v>
      </c>
      <c r="B5" s="11" t="str">
        <f t="shared" si="0"/>
        <v>Mouse</v>
      </c>
      <c r="C5" s="11">
        <f t="shared" si="1"/>
        <v>25</v>
      </c>
      <c r="D5" s="11" t="str">
        <f t="shared" si="2"/>
        <v>East</v>
      </c>
    </row>
    <row r="6" spans="1:4" ht="14.4">
      <c r="A6" s="11">
        <v>1004</v>
      </c>
      <c r="B6" s="11" t="str">
        <f t="shared" si="0"/>
        <v>Mouse</v>
      </c>
      <c r="C6" s="11">
        <f t="shared" si="1"/>
        <v>25</v>
      </c>
      <c r="D6" s="11" t="str">
        <f t="shared" si="2"/>
        <v>South</v>
      </c>
    </row>
    <row r="7" spans="1:4" ht="14.4">
      <c r="A7" s="11">
        <v>1005</v>
      </c>
      <c r="B7" s="11" t="str">
        <f t="shared" si="0"/>
        <v>Headphone</v>
      </c>
      <c r="C7" s="11">
        <f t="shared" si="1"/>
        <v>25</v>
      </c>
      <c r="D7" s="11" t="str">
        <f t="shared" si="2"/>
        <v>North</v>
      </c>
    </row>
    <row r="8" spans="1:4" ht="14.4">
      <c r="A8" s="11">
        <v>1006</v>
      </c>
      <c r="B8" s="11" t="str">
        <f t="shared" si="0"/>
        <v>Pendrive</v>
      </c>
      <c r="C8" s="11">
        <f t="shared" si="1"/>
        <v>25</v>
      </c>
      <c r="D8" s="11" t="str">
        <f t="shared" si="2"/>
        <v>South</v>
      </c>
    </row>
    <row r="9" spans="1:4" ht="14.4">
      <c r="A9" s="11">
        <v>1007</v>
      </c>
      <c r="B9" s="11" t="str">
        <f t="shared" si="0"/>
        <v>HDD</v>
      </c>
      <c r="C9" s="11">
        <f t="shared" si="1"/>
        <v>25</v>
      </c>
      <c r="D9" s="11" t="str">
        <f t="shared" si="2"/>
        <v>West</v>
      </c>
    </row>
    <row r="10" spans="1:4" ht="14.4">
      <c r="A10" s="11">
        <v>1008</v>
      </c>
      <c r="B10" s="11" t="str">
        <f t="shared" si="0"/>
        <v>SSD</v>
      </c>
      <c r="C10" s="11">
        <f t="shared" si="1"/>
        <v>25</v>
      </c>
      <c r="D10" s="11" t="str">
        <f t="shared" si="2"/>
        <v>South</v>
      </c>
    </row>
    <row r="11" spans="1:4" ht="14.4">
      <c r="A11" s="11">
        <v>1009</v>
      </c>
      <c r="B11" s="11" t="str">
        <f t="shared" si="0"/>
        <v>HDD</v>
      </c>
      <c r="C11" s="11">
        <f t="shared" si="1"/>
        <v>34</v>
      </c>
      <c r="D11" s="11" t="str">
        <f t="shared" si="2"/>
        <v>West</v>
      </c>
    </row>
    <row r="12" spans="1:4" ht="14.4">
      <c r="A12" s="11">
        <v>1010</v>
      </c>
      <c r="B12" s="11" t="str">
        <f t="shared" si="0"/>
        <v>LCD</v>
      </c>
      <c r="C12" s="11">
        <f t="shared" si="1"/>
        <v>55</v>
      </c>
      <c r="D12" s="11" t="str">
        <f t="shared" si="2"/>
        <v>North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"/>
  <sheetViews>
    <sheetView workbookViewId="0"/>
  </sheetViews>
  <sheetFormatPr defaultColWidth="14.44140625" defaultRowHeight="15" customHeight="1"/>
  <cols>
    <col min="1" max="1" width="8.6640625" customWidth="1"/>
    <col min="2" max="2" width="11.33203125" customWidth="1"/>
    <col min="3" max="11" width="8.6640625" customWidth="1"/>
  </cols>
  <sheetData>
    <row r="1" spans="1:2" ht="14.4">
      <c r="A1" s="11" t="s">
        <v>56</v>
      </c>
      <c r="B1" s="16"/>
    </row>
    <row r="2" spans="1:2" ht="14.4">
      <c r="A2" s="13" t="s">
        <v>59</v>
      </c>
      <c r="B2" s="13" t="s">
        <v>4</v>
      </c>
    </row>
    <row r="3" spans="1:2" ht="14.4">
      <c r="A3" s="11">
        <v>1001</v>
      </c>
      <c r="B3" s="11" t="s">
        <v>61</v>
      </c>
    </row>
    <row r="4" spans="1:2" ht="14.4">
      <c r="A4" s="11">
        <v>1002</v>
      </c>
      <c r="B4" s="11" t="s">
        <v>63</v>
      </c>
    </row>
    <row r="5" spans="1:2" ht="14.4">
      <c r="A5" s="11">
        <v>1003</v>
      </c>
      <c r="B5" s="11" t="s">
        <v>64</v>
      </c>
    </row>
    <row r="6" spans="1:2" ht="14.4">
      <c r="A6" s="11">
        <v>1004</v>
      </c>
      <c r="B6" s="11" t="s">
        <v>64</v>
      </c>
    </row>
    <row r="7" spans="1:2" ht="14.4">
      <c r="A7" s="11">
        <v>1005</v>
      </c>
      <c r="B7" s="11" t="s">
        <v>65</v>
      </c>
    </row>
    <row r="8" spans="1:2" ht="14.4">
      <c r="A8" s="11">
        <v>1006</v>
      </c>
      <c r="B8" s="11" t="s">
        <v>66</v>
      </c>
    </row>
    <row r="9" spans="1:2" ht="14.4">
      <c r="A9" s="11">
        <v>1007</v>
      </c>
      <c r="B9" s="11" t="s">
        <v>67</v>
      </c>
    </row>
    <row r="10" spans="1:2" ht="14.4">
      <c r="A10" s="11">
        <v>1008</v>
      </c>
      <c r="B10" s="11" t="s">
        <v>68</v>
      </c>
    </row>
    <row r="11" spans="1:2" ht="14.4">
      <c r="A11" s="11">
        <v>1009</v>
      </c>
      <c r="B11" s="11" t="s">
        <v>67</v>
      </c>
    </row>
    <row r="12" spans="1:2" ht="14.4">
      <c r="A12" s="11">
        <v>1010</v>
      </c>
      <c r="B12" s="1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"/>
  <sheetViews>
    <sheetView workbookViewId="0"/>
  </sheetViews>
  <sheetFormatPr defaultColWidth="14.44140625" defaultRowHeight="15" customHeight="1"/>
  <cols>
    <col min="1" max="11" width="8.6640625" customWidth="1"/>
  </cols>
  <sheetData>
    <row r="1" spans="1:2" ht="14.4">
      <c r="A1" s="11" t="s">
        <v>57</v>
      </c>
      <c r="B1" s="11"/>
    </row>
    <row r="2" spans="1:2" ht="14.4">
      <c r="A2" s="13" t="s">
        <v>59</v>
      </c>
      <c r="B2" s="13" t="s">
        <v>60</v>
      </c>
    </row>
    <row r="3" spans="1:2" ht="14.4">
      <c r="A3" s="11">
        <v>1001</v>
      </c>
      <c r="B3" s="11">
        <v>45</v>
      </c>
    </row>
    <row r="4" spans="1:2" ht="14.4">
      <c r="A4" s="11">
        <v>1002</v>
      </c>
      <c r="B4" s="11">
        <v>35</v>
      </c>
    </row>
    <row r="5" spans="1:2" ht="14.4">
      <c r="A5" s="11">
        <v>1003</v>
      </c>
      <c r="B5" s="11">
        <v>25</v>
      </c>
    </row>
    <row r="6" spans="1:2" ht="14.4">
      <c r="A6" s="11">
        <v>1004</v>
      </c>
      <c r="B6" s="11">
        <v>25</v>
      </c>
    </row>
    <row r="7" spans="1:2" ht="14.4">
      <c r="A7" s="11">
        <v>1005</v>
      </c>
      <c r="B7" s="11">
        <v>25</v>
      </c>
    </row>
    <row r="8" spans="1:2" ht="14.4">
      <c r="A8" s="11">
        <v>1006</v>
      </c>
      <c r="B8" s="11">
        <v>25</v>
      </c>
    </row>
    <row r="9" spans="1:2" ht="14.4">
      <c r="A9" s="11">
        <v>1007</v>
      </c>
      <c r="B9" s="11">
        <v>25</v>
      </c>
    </row>
    <row r="10" spans="1:2" ht="14.4">
      <c r="A10" s="11">
        <v>1008</v>
      </c>
      <c r="B10" s="11">
        <v>25</v>
      </c>
    </row>
    <row r="11" spans="1:2" ht="14.4">
      <c r="A11" s="11">
        <v>1009</v>
      </c>
      <c r="B11" s="11">
        <v>34</v>
      </c>
    </row>
    <row r="12" spans="1:2" ht="14.4">
      <c r="A12" s="11">
        <v>1010</v>
      </c>
      <c r="B12" s="11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"/>
  <sheetViews>
    <sheetView workbookViewId="0"/>
  </sheetViews>
  <sheetFormatPr defaultColWidth="14.44140625" defaultRowHeight="15" customHeight="1"/>
  <cols>
    <col min="1" max="1" width="8.6640625" customWidth="1"/>
    <col min="2" max="2" width="11.33203125" customWidth="1"/>
    <col min="3" max="11" width="8.6640625" customWidth="1"/>
  </cols>
  <sheetData>
    <row r="1" spans="1:2" ht="14.4">
      <c r="A1" s="11" t="s">
        <v>58</v>
      </c>
      <c r="B1" s="16"/>
    </row>
    <row r="2" spans="1:2" ht="14.4">
      <c r="A2" s="13" t="s">
        <v>59</v>
      </c>
      <c r="B2" s="13" t="s">
        <v>5</v>
      </c>
    </row>
    <row r="3" spans="1:2" ht="14.4">
      <c r="A3" s="11">
        <v>1001</v>
      </c>
      <c r="B3" s="11" t="s">
        <v>71</v>
      </c>
    </row>
    <row r="4" spans="1:2" ht="14.4">
      <c r="A4" s="11">
        <v>1002</v>
      </c>
      <c r="B4" s="11" t="s">
        <v>72</v>
      </c>
    </row>
    <row r="5" spans="1:2" ht="14.4">
      <c r="A5" s="11">
        <v>1003</v>
      </c>
      <c r="B5" s="11" t="s">
        <v>73</v>
      </c>
    </row>
    <row r="6" spans="1:2" ht="14.4">
      <c r="A6" s="11">
        <v>1004</v>
      </c>
      <c r="B6" s="11" t="s">
        <v>71</v>
      </c>
    </row>
    <row r="7" spans="1:2" ht="14.4">
      <c r="A7" s="11">
        <v>1005</v>
      </c>
      <c r="B7" s="11" t="s">
        <v>74</v>
      </c>
    </row>
    <row r="8" spans="1:2" ht="14.4">
      <c r="A8" s="11">
        <v>1006</v>
      </c>
      <c r="B8" s="11" t="s">
        <v>71</v>
      </c>
    </row>
    <row r="9" spans="1:2" ht="14.4">
      <c r="A9" s="11">
        <v>1007</v>
      </c>
      <c r="B9" s="11" t="s">
        <v>72</v>
      </c>
    </row>
    <row r="10" spans="1:2" ht="14.4">
      <c r="A10" s="11">
        <v>1008</v>
      </c>
      <c r="B10" s="11" t="s">
        <v>71</v>
      </c>
    </row>
    <row r="11" spans="1:2" ht="14.4">
      <c r="A11" s="11">
        <v>1009</v>
      </c>
      <c r="B11" s="11" t="s">
        <v>72</v>
      </c>
    </row>
    <row r="12" spans="1:2" ht="14.4">
      <c r="A12" s="11">
        <v>1010</v>
      </c>
      <c r="B12" s="11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"/>
  <sheetViews>
    <sheetView workbookViewId="0"/>
  </sheetViews>
  <sheetFormatPr defaultColWidth="14.44140625" defaultRowHeight="15" customHeight="1"/>
  <cols>
    <col min="1" max="1" width="11.33203125" customWidth="1"/>
    <col min="2" max="2" width="11" customWidth="1"/>
    <col min="3" max="3" width="10.5546875" customWidth="1"/>
    <col min="4" max="11" width="8.6640625" customWidth="1"/>
  </cols>
  <sheetData>
    <row r="1" spans="1:3" ht="14.4">
      <c r="A1" s="90" t="s">
        <v>75</v>
      </c>
      <c r="B1" s="88"/>
      <c r="C1" s="89"/>
    </row>
    <row r="2" spans="1:3" ht="14.4">
      <c r="A2" s="13" t="s">
        <v>59</v>
      </c>
      <c r="B2" s="13" t="s">
        <v>4</v>
      </c>
      <c r="C2" s="13" t="s">
        <v>60</v>
      </c>
    </row>
    <row r="3" spans="1:3" ht="14.4">
      <c r="A3">
        <v>1001</v>
      </c>
    </row>
    <row r="4" spans="1:3" ht="14.4">
      <c r="A4">
        <v>1002</v>
      </c>
    </row>
    <row r="5" spans="1:3" ht="14.4">
      <c r="A5">
        <v>1003</v>
      </c>
    </row>
    <row r="6" spans="1:3" ht="14.4">
      <c r="A6">
        <v>1004</v>
      </c>
    </row>
    <row r="7" spans="1:3" ht="14.4">
      <c r="A7">
        <v>1005</v>
      </c>
    </row>
    <row r="8" spans="1:3" ht="14.4">
      <c r="A8">
        <v>1006</v>
      </c>
    </row>
    <row r="9" spans="1:3" ht="14.4">
      <c r="A9">
        <v>1007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"/>
  <sheetViews>
    <sheetView workbookViewId="0"/>
  </sheetViews>
  <sheetFormatPr defaultColWidth="14.44140625" defaultRowHeight="15" customHeight="1"/>
  <cols>
    <col min="1" max="1" width="17.33203125" customWidth="1"/>
    <col min="2" max="2" width="13.109375" customWidth="1"/>
    <col min="3" max="4" width="8.6640625" customWidth="1"/>
    <col min="5" max="5" width="15.109375" customWidth="1"/>
    <col min="6" max="11" width="8.6640625" customWidth="1"/>
  </cols>
  <sheetData>
    <row r="1" spans="1:2" ht="14.4">
      <c r="A1" s="17" t="s">
        <v>76</v>
      </c>
      <c r="B1" s="17" t="s">
        <v>77</v>
      </c>
    </row>
    <row r="2" spans="1:2" ht="14.4">
      <c r="A2" t="s">
        <v>78</v>
      </c>
      <c r="B2" t="s">
        <v>79</v>
      </c>
    </row>
    <row r="3" spans="1:2" ht="14.4">
      <c r="A3" t="s">
        <v>80</v>
      </c>
      <c r="B3" t="s">
        <v>81</v>
      </c>
    </row>
    <row r="4" spans="1:2" ht="14.4">
      <c r="A4" t="s">
        <v>82</v>
      </c>
      <c r="B4" t="str">
        <f>VLOOKUP(A4,location,2,0)</f>
        <v>Pune</v>
      </c>
    </row>
    <row r="5" spans="1:2" ht="14.4">
      <c r="A5" t="s">
        <v>83</v>
      </c>
      <c r="B5" t="s">
        <v>84</v>
      </c>
    </row>
    <row r="6" spans="1:2" ht="14.4">
      <c r="A6" t="s">
        <v>85</v>
      </c>
      <c r="B6" t="str">
        <f>VLOOKUP(A6,location,2,0)</f>
        <v>Chennai</v>
      </c>
    </row>
    <row r="7" spans="1:2" ht="14.4">
      <c r="A7" t="s">
        <v>86</v>
      </c>
      <c r="B7" t="s">
        <v>87</v>
      </c>
    </row>
    <row r="8" spans="1:2" ht="14.4">
      <c r="A8" t="s">
        <v>88</v>
      </c>
      <c r="B8" t="str">
        <f>VLOOKUP(A8,location,2,0)</f>
        <v>Surat</v>
      </c>
    </row>
    <row r="9" spans="1:2" ht="14.4">
      <c r="A9" t="s">
        <v>89</v>
      </c>
      <c r="B9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B9" xr:uid="{00000000-0009-0000-0000-00000D000000}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"/>
  <sheetViews>
    <sheetView workbookViewId="0"/>
  </sheetViews>
  <sheetFormatPr defaultColWidth="14.44140625" defaultRowHeight="15" customHeight="1"/>
  <cols>
    <col min="1" max="1" width="17.33203125" customWidth="1"/>
    <col min="2" max="11" width="8.6640625" customWidth="1"/>
  </cols>
  <sheetData>
    <row r="1" spans="1:2" ht="14.4">
      <c r="A1" s="17" t="s">
        <v>76</v>
      </c>
      <c r="B1" s="17" t="s">
        <v>77</v>
      </c>
    </row>
    <row r="2" spans="1:2" ht="14.4">
      <c r="A2" t="s">
        <v>82</v>
      </c>
      <c r="B2" t="s">
        <v>87</v>
      </c>
    </row>
    <row r="3" spans="1:2" ht="14.4">
      <c r="A3" t="s">
        <v>85</v>
      </c>
      <c r="B3" t="s">
        <v>90</v>
      </c>
    </row>
    <row r="4" spans="1:2" ht="14.4">
      <c r="A4" t="s">
        <v>88</v>
      </c>
      <c r="B4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"/>
  <sheetViews>
    <sheetView workbookViewId="0">
      <selection activeCell="H3" sqref="H3"/>
    </sheetView>
  </sheetViews>
  <sheetFormatPr defaultColWidth="14.44140625" defaultRowHeight="15" customHeight="1"/>
  <cols>
    <col min="1" max="1" width="11.33203125" customWidth="1"/>
    <col min="2" max="2" width="11.109375" customWidth="1"/>
    <col min="3" max="3" width="10" customWidth="1"/>
    <col min="4" max="4" width="7.109375" customWidth="1"/>
    <col min="5" max="5" width="10.109375" customWidth="1"/>
    <col min="6" max="6" width="8.6640625" customWidth="1"/>
    <col min="7" max="7" width="11" customWidth="1"/>
    <col min="8" max="8" width="13.109375" customWidth="1"/>
    <col min="9" max="11" width="8.6640625" customWidth="1"/>
  </cols>
  <sheetData>
    <row r="1" spans="1:8" ht="14.4">
      <c r="A1" s="10" t="s">
        <v>3</v>
      </c>
      <c r="B1" s="10" t="s">
        <v>4</v>
      </c>
      <c r="C1" s="10" t="s">
        <v>5</v>
      </c>
      <c r="D1" s="10" t="s">
        <v>6</v>
      </c>
      <c r="E1" s="10" t="s">
        <v>32</v>
      </c>
      <c r="G1" s="87" t="s">
        <v>92</v>
      </c>
      <c r="H1" s="89"/>
    </row>
    <row r="2" spans="1:8" ht="14.4">
      <c r="A2" s="11" t="s">
        <v>7</v>
      </c>
      <c r="B2" s="11" t="s">
        <v>8</v>
      </c>
      <c r="C2" s="11" t="s">
        <v>9</v>
      </c>
      <c r="D2" s="11">
        <v>45</v>
      </c>
      <c r="E2" s="11">
        <v>1231</v>
      </c>
      <c r="G2" s="10" t="s">
        <v>32</v>
      </c>
      <c r="H2">
        <v>1233</v>
      </c>
    </row>
    <row r="3" spans="1:8" ht="14.4">
      <c r="A3" s="11" t="s">
        <v>10</v>
      </c>
      <c r="B3" s="11" t="s">
        <v>11</v>
      </c>
      <c r="C3" s="11" t="s">
        <v>12</v>
      </c>
      <c r="D3" s="11">
        <v>65</v>
      </c>
      <c r="E3" s="11">
        <v>1232</v>
      </c>
      <c r="G3" s="10" t="s">
        <v>3</v>
      </c>
      <c r="H3" t="str">
        <f t="shared" ref="H3:H6" si="0">VLOOKUP($H$2,CHOOSE({1,2,3,4,5},$E$1:$E$11,$A$1:$A$11,$B$1:$B$11,$C$1:$C$11,$D$1:$D$11),ROW()-1,0)</f>
        <v>Superman</v>
      </c>
    </row>
    <row r="4" spans="1:8" ht="14.4">
      <c r="A4" s="11" t="s">
        <v>13</v>
      </c>
      <c r="B4" s="11" t="s">
        <v>14</v>
      </c>
      <c r="C4" s="11" t="s">
        <v>15</v>
      </c>
      <c r="D4" s="11">
        <v>32</v>
      </c>
      <c r="E4" s="11">
        <v>1233</v>
      </c>
      <c r="G4" s="10" t="s">
        <v>4</v>
      </c>
      <c r="H4" t="str">
        <f t="shared" si="0"/>
        <v>Toothpaste</v>
      </c>
    </row>
    <row r="5" spans="1:8" ht="14.4">
      <c r="A5" s="11" t="s">
        <v>16</v>
      </c>
      <c r="B5" s="11" t="s">
        <v>17</v>
      </c>
      <c r="C5" s="11" t="s">
        <v>9</v>
      </c>
      <c r="D5" s="11">
        <v>65</v>
      </c>
      <c r="E5" s="11">
        <v>1234</v>
      </c>
      <c r="G5" s="10" t="s">
        <v>5</v>
      </c>
      <c r="H5" t="str">
        <f t="shared" si="0"/>
        <v>West City</v>
      </c>
    </row>
    <row r="6" spans="1:8" ht="14.4">
      <c r="A6" s="11" t="s">
        <v>18</v>
      </c>
      <c r="B6" s="11" t="s">
        <v>8</v>
      </c>
      <c r="C6" s="11" t="s">
        <v>12</v>
      </c>
      <c r="D6" s="11">
        <v>98</v>
      </c>
      <c r="E6" s="11">
        <v>1235</v>
      </c>
      <c r="G6" s="10" t="s">
        <v>6</v>
      </c>
      <c r="H6">
        <f t="shared" si="0"/>
        <v>32</v>
      </c>
    </row>
    <row r="7" spans="1:8" ht="14.4">
      <c r="A7" s="11" t="s">
        <v>19</v>
      </c>
      <c r="B7" s="11" t="s">
        <v>11</v>
      </c>
      <c r="C7" s="11" t="s">
        <v>15</v>
      </c>
      <c r="D7" s="11">
        <v>65</v>
      </c>
      <c r="E7" s="11">
        <v>1236</v>
      </c>
    </row>
    <row r="8" spans="1:8" ht="14.4">
      <c r="A8" s="11" t="s">
        <v>20</v>
      </c>
      <c r="B8" s="11" t="s">
        <v>17</v>
      </c>
      <c r="C8" s="11" t="s">
        <v>9</v>
      </c>
      <c r="D8" s="11">
        <v>32</v>
      </c>
      <c r="E8" s="11">
        <v>1237</v>
      </c>
    </row>
    <row r="9" spans="1:8" ht="14.4">
      <c r="A9" s="11" t="s">
        <v>21</v>
      </c>
      <c r="B9" s="11" t="s">
        <v>22</v>
      </c>
      <c r="C9" s="11" t="s">
        <v>12</v>
      </c>
      <c r="D9" s="11">
        <v>65</v>
      </c>
      <c r="E9" s="11">
        <v>1238</v>
      </c>
    </row>
    <row r="10" spans="1:8" ht="14.4">
      <c r="A10" s="11" t="s">
        <v>23</v>
      </c>
      <c r="B10" s="11" t="s">
        <v>22</v>
      </c>
      <c r="C10" s="11" t="s">
        <v>15</v>
      </c>
      <c r="D10" s="11">
        <v>54</v>
      </c>
      <c r="E10" s="11">
        <v>1239</v>
      </c>
    </row>
    <row r="11" spans="1:8" ht="14.4">
      <c r="A11" s="11" t="s">
        <v>24</v>
      </c>
      <c r="B11" s="11" t="s">
        <v>11</v>
      </c>
      <c r="C11" s="11" t="s">
        <v>9</v>
      </c>
      <c r="D11" s="11">
        <v>65</v>
      </c>
      <c r="E11" s="11">
        <v>1240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G1:H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4140625" defaultRowHeight="15" customHeight="1"/>
  <cols>
    <col min="1" max="1" width="11.33203125" customWidth="1"/>
    <col min="2" max="2" width="11.109375" customWidth="1"/>
    <col min="3" max="3" width="10" customWidth="1"/>
    <col min="4" max="4" width="7.109375" customWidth="1"/>
    <col min="5" max="5" width="10.109375" customWidth="1"/>
    <col min="6" max="7" width="8.6640625" customWidth="1"/>
    <col min="8" max="8" width="10.109375" customWidth="1"/>
    <col min="9" max="9" width="13.109375" customWidth="1"/>
    <col min="10" max="11" width="8.6640625" customWidth="1"/>
  </cols>
  <sheetData>
    <row r="1" spans="1:11" ht="14.4">
      <c r="A1" s="10" t="s">
        <v>3</v>
      </c>
      <c r="B1" s="10" t="s">
        <v>4</v>
      </c>
      <c r="C1" s="10" t="s">
        <v>5</v>
      </c>
      <c r="D1" s="10" t="s">
        <v>6</v>
      </c>
      <c r="E1" s="10" t="s">
        <v>32</v>
      </c>
      <c r="H1" s="87" t="s">
        <v>93</v>
      </c>
      <c r="I1" s="89"/>
      <c r="J1" t="s">
        <v>94</v>
      </c>
      <c r="K1" t="s">
        <v>95</v>
      </c>
    </row>
    <row r="2" spans="1:11" ht="14.4">
      <c r="A2" s="11" t="s">
        <v>7</v>
      </c>
      <c r="B2" s="11" t="s">
        <v>8</v>
      </c>
      <c r="C2" s="11" t="s">
        <v>9</v>
      </c>
      <c r="D2" s="11">
        <v>45</v>
      </c>
      <c r="E2" s="11">
        <v>1231</v>
      </c>
      <c r="H2" s="10" t="s">
        <v>32</v>
      </c>
      <c r="I2">
        <v>1232</v>
      </c>
      <c r="J2">
        <f>MATCH(I2,E1:E11,0)</f>
        <v>3</v>
      </c>
    </row>
    <row r="3" spans="1:11" ht="14.4">
      <c r="A3" s="11" t="s">
        <v>10</v>
      </c>
      <c r="B3" s="11" t="s">
        <v>11</v>
      </c>
      <c r="C3" s="11" t="s">
        <v>12</v>
      </c>
      <c r="D3" s="11">
        <v>65</v>
      </c>
      <c r="E3" s="11">
        <v>1232</v>
      </c>
      <c r="H3" s="10" t="s">
        <v>3</v>
      </c>
      <c r="I3" t="str">
        <f t="shared" ref="I3:I6" si="0">INDEX($A$1:$E$11,MATCH($I$2,$E$1:$E$11,0),MATCH(H3,$A$1:$E$1,0))</f>
        <v>Ironman</v>
      </c>
      <c r="K3">
        <f t="shared" ref="K3:K6" si="1">MATCH(H3,$A$1:$E$1,0)</f>
        <v>1</v>
      </c>
    </row>
    <row r="4" spans="1:11" ht="14.4">
      <c r="A4" s="11" t="s">
        <v>13</v>
      </c>
      <c r="B4" s="11" t="s">
        <v>14</v>
      </c>
      <c r="C4" s="11" t="s">
        <v>15</v>
      </c>
      <c r="D4" s="11">
        <v>32</v>
      </c>
      <c r="E4" s="11">
        <v>1233</v>
      </c>
      <c r="H4" s="10" t="s">
        <v>4</v>
      </c>
      <c r="I4" t="str">
        <f t="shared" si="0"/>
        <v>Tigerbalm</v>
      </c>
      <c r="K4">
        <f t="shared" si="1"/>
        <v>2</v>
      </c>
    </row>
    <row r="5" spans="1:11" ht="14.4">
      <c r="A5" s="11" t="s">
        <v>16</v>
      </c>
      <c r="B5" s="11" t="s">
        <v>17</v>
      </c>
      <c r="C5" s="11" t="s">
        <v>9</v>
      </c>
      <c r="D5" s="11">
        <v>65</v>
      </c>
      <c r="E5" s="11">
        <v>1234</v>
      </c>
      <c r="H5" s="10" t="s">
        <v>5</v>
      </c>
      <c r="I5" t="str">
        <f t="shared" si="0"/>
        <v>North City</v>
      </c>
      <c r="K5">
        <f t="shared" si="1"/>
        <v>3</v>
      </c>
    </row>
    <row r="6" spans="1:11" ht="14.4">
      <c r="A6" s="11" t="s">
        <v>18</v>
      </c>
      <c r="B6" s="11" t="s">
        <v>8</v>
      </c>
      <c r="C6" s="11" t="s">
        <v>12</v>
      </c>
      <c r="D6" s="11">
        <v>98</v>
      </c>
      <c r="E6" s="11">
        <v>1235</v>
      </c>
      <c r="H6" s="10" t="s">
        <v>6</v>
      </c>
      <c r="I6">
        <f t="shared" si="0"/>
        <v>65</v>
      </c>
      <c r="K6">
        <f t="shared" si="1"/>
        <v>4</v>
      </c>
    </row>
    <row r="7" spans="1:11" ht="14.4">
      <c r="A7" s="11" t="s">
        <v>19</v>
      </c>
      <c r="B7" s="11" t="s">
        <v>11</v>
      </c>
      <c r="C7" s="11" t="s">
        <v>15</v>
      </c>
      <c r="D7" s="11">
        <v>65</v>
      </c>
      <c r="E7" s="11">
        <v>1236</v>
      </c>
    </row>
    <row r="8" spans="1:11" ht="14.4">
      <c r="A8" s="11" t="s">
        <v>20</v>
      </c>
      <c r="B8" s="11" t="s">
        <v>17</v>
      </c>
      <c r="C8" s="11" t="s">
        <v>9</v>
      </c>
      <c r="D8" s="11">
        <v>32</v>
      </c>
      <c r="E8" s="11">
        <v>1237</v>
      </c>
    </row>
    <row r="9" spans="1:11" ht="14.4">
      <c r="A9" s="11" t="s">
        <v>21</v>
      </c>
      <c r="B9" s="11" t="s">
        <v>22</v>
      </c>
      <c r="C9" s="11" t="s">
        <v>12</v>
      </c>
      <c r="D9" s="11">
        <v>65</v>
      </c>
      <c r="E9" s="11">
        <v>1238</v>
      </c>
    </row>
    <row r="10" spans="1:11" ht="14.4">
      <c r="A10" s="11" t="s">
        <v>23</v>
      </c>
      <c r="B10" s="11" t="s">
        <v>22</v>
      </c>
      <c r="C10" s="11" t="s">
        <v>15</v>
      </c>
      <c r="D10" s="11">
        <v>54</v>
      </c>
      <c r="E10" s="11">
        <v>1239</v>
      </c>
    </row>
    <row r="11" spans="1:11" ht="14.4">
      <c r="A11" s="11" t="s">
        <v>24</v>
      </c>
      <c r="B11" s="11" t="s">
        <v>11</v>
      </c>
      <c r="C11" s="11" t="s">
        <v>9</v>
      </c>
      <c r="D11" s="11">
        <v>65</v>
      </c>
      <c r="E11" s="11">
        <v>1240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H1:I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"/>
  <sheetViews>
    <sheetView workbookViewId="0">
      <selection activeCell="C10" sqref="C10"/>
    </sheetView>
  </sheetViews>
  <sheetFormatPr defaultColWidth="14.44140625" defaultRowHeight="15" customHeight="1"/>
  <cols>
    <col min="1" max="1" width="11.5546875" customWidth="1"/>
    <col min="2" max="11" width="8.6640625" customWidth="1"/>
  </cols>
  <sheetData>
    <row r="1" spans="1:4" ht="14.4">
      <c r="A1" s="18" t="s">
        <v>96</v>
      </c>
      <c r="B1" s="19" t="s">
        <v>97</v>
      </c>
    </row>
    <row r="2" spans="1:4" ht="14.4">
      <c r="A2" s="20" t="s">
        <v>98</v>
      </c>
      <c r="B2" s="11">
        <f t="shared" ref="B2:B7" si="0">VLOOKUP(A2,monthdata,MATCH($B$1,Monthlist,0),0)</f>
        <v>127</v>
      </c>
      <c r="D2">
        <f>MATCH(B1,Monthlist,0)</f>
        <v>13</v>
      </c>
    </row>
    <row r="3" spans="1:4" ht="14.4">
      <c r="A3" s="20" t="s">
        <v>99</v>
      </c>
      <c r="B3" s="11">
        <f t="shared" si="0"/>
        <v>170</v>
      </c>
    </row>
    <row r="4" spans="1:4" ht="14.4">
      <c r="A4" s="20" t="s">
        <v>100</v>
      </c>
      <c r="B4" s="11">
        <f t="shared" si="0"/>
        <v>141</v>
      </c>
    </row>
    <row r="5" spans="1:4" ht="14.4">
      <c r="A5" s="20" t="s">
        <v>62</v>
      </c>
      <c r="B5" s="11">
        <f t="shared" si="0"/>
        <v>104</v>
      </c>
    </row>
    <row r="6" spans="1:4" ht="14.4">
      <c r="A6" s="20" t="s">
        <v>63</v>
      </c>
      <c r="B6" s="11">
        <f t="shared" si="0"/>
        <v>178</v>
      </c>
    </row>
    <row r="7" spans="1:4" ht="14.4">
      <c r="A7" s="20" t="s">
        <v>101</v>
      </c>
      <c r="B7" s="11">
        <f t="shared" si="0"/>
        <v>137</v>
      </c>
    </row>
    <row r="9" spans="1:4" ht="15" customHeight="1">
      <c r="A9" s="64" t="s">
        <v>96</v>
      </c>
      <c r="B9" s="66" t="s">
        <v>103</v>
      </c>
    </row>
    <row r="10" spans="1:4" ht="15" customHeight="1">
      <c r="A10" s="65" t="s">
        <v>98</v>
      </c>
      <c r="B10" s="66">
        <f t="shared" ref="B10:B15" si="1">VLOOKUP(A10,monthdata,MATCH($B$9,Monthlist,0),0)</f>
        <v>131</v>
      </c>
      <c r="C10">
        <f t="shared" ref="C10:C15" si="2">VLOOKUP(A10,monthdata,ROW()-8,0)</f>
        <v>144</v>
      </c>
      <c r="D10">
        <f>MATCH($B$9,Monthlist,0)</f>
        <v>3</v>
      </c>
    </row>
    <row r="11" spans="1:4" ht="15" customHeight="1">
      <c r="A11" s="65" t="s">
        <v>99</v>
      </c>
      <c r="B11" s="66">
        <f t="shared" si="1"/>
        <v>180</v>
      </c>
      <c r="C11">
        <f t="shared" si="2"/>
        <v>180</v>
      </c>
    </row>
    <row r="12" spans="1:4" ht="15" customHeight="1">
      <c r="A12" s="65" t="s">
        <v>100</v>
      </c>
      <c r="B12" s="66">
        <f t="shared" si="1"/>
        <v>152</v>
      </c>
      <c r="C12">
        <f t="shared" si="2"/>
        <v>164</v>
      </c>
    </row>
    <row r="13" spans="1:4" ht="15" customHeight="1">
      <c r="A13" s="65" t="s">
        <v>62</v>
      </c>
      <c r="B13" s="66">
        <f t="shared" si="1"/>
        <v>118</v>
      </c>
      <c r="C13">
        <f t="shared" si="2"/>
        <v>145</v>
      </c>
    </row>
    <row r="14" spans="1:4" ht="15" customHeight="1">
      <c r="A14" s="65" t="s">
        <v>63</v>
      </c>
      <c r="B14" s="66">
        <f t="shared" si="1"/>
        <v>111</v>
      </c>
      <c r="C14">
        <f t="shared" si="2"/>
        <v>162</v>
      </c>
    </row>
    <row r="15" spans="1:4" ht="15" customHeight="1">
      <c r="A15" s="65" t="s">
        <v>101</v>
      </c>
      <c r="B15" s="66">
        <f t="shared" si="1"/>
        <v>164</v>
      </c>
      <c r="C15">
        <f t="shared" si="2"/>
        <v>132</v>
      </c>
    </row>
    <row r="16" spans="1:4" ht="15" customHeight="1">
      <c r="C16" s="41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100-000000000000}">
          <x14:formula1>
            <xm:f>' Backupdata'!$B$1:$M$1</xm:f>
          </x14:formula1>
          <xm:sqref>B1</xm:sqref>
        </x14:dataValidation>
        <x14:dataValidation type="list" allowBlank="1" showInputMessage="1" showErrorMessage="1" xr:uid="{25B4D2CC-6825-4F2C-84ED-33B5655971C5}">
          <x14:formula1>
            <xm:f>' Backupdata'!$B$1:$M$1</xm:f>
          </x14:formula1>
          <xm:sqref>B9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"/>
  <sheetViews>
    <sheetView workbookViewId="0"/>
  </sheetViews>
  <sheetFormatPr defaultColWidth="14.44140625" defaultRowHeight="15" customHeight="1"/>
  <cols>
    <col min="1" max="1" width="13.5546875" customWidth="1"/>
    <col min="2" max="13" width="8.6640625" customWidth="1"/>
  </cols>
  <sheetData>
    <row r="1" spans="1:13" ht="14.4">
      <c r="A1" s="18" t="s">
        <v>96</v>
      </c>
      <c r="B1" s="21" t="s">
        <v>102</v>
      </c>
      <c r="C1" s="21" t="s">
        <v>103</v>
      </c>
      <c r="D1" s="21" t="s">
        <v>104</v>
      </c>
      <c r="E1" s="21" t="s">
        <v>105</v>
      </c>
      <c r="F1" s="21" t="s">
        <v>106</v>
      </c>
      <c r="G1" s="21" t="s">
        <v>107</v>
      </c>
      <c r="H1" s="21" t="s">
        <v>108</v>
      </c>
      <c r="I1" s="21" t="s">
        <v>109</v>
      </c>
      <c r="J1" s="21" t="s">
        <v>110</v>
      </c>
      <c r="K1" s="21" t="s">
        <v>111</v>
      </c>
      <c r="L1" s="21" t="s">
        <v>112</v>
      </c>
      <c r="M1" s="21" t="s">
        <v>97</v>
      </c>
    </row>
    <row r="2" spans="1:13" ht="14.4">
      <c r="A2" s="20" t="s">
        <v>98</v>
      </c>
      <c r="B2" s="11">
        <v>144</v>
      </c>
      <c r="C2" s="11">
        <v>131</v>
      </c>
      <c r="D2" s="11">
        <v>134</v>
      </c>
      <c r="E2" s="11">
        <v>120</v>
      </c>
      <c r="F2" s="11">
        <v>143</v>
      </c>
      <c r="G2" s="11">
        <v>173</v>
      </c>
      <c r="H2" s="11">
        <v>154</v>
      </c>
      <c r="I2" s="11">
        <v>190</v>
      </c>
      <c r="J2" s="11">
        <v>113</v>
      </c>
      <c r="K2" s="11">
        <v>130</v>
      </c>
      <c r="L2" s="11">
        <v>120</v>
      </c>
      <c r="M2" s="11">
        <v>127</v>
      </c>
    </row>
    <row r="3" spans="1:13" ht="14.4">
      <c r="A3" s="20" t="s">
        <v>99</v>
      </c>
      <c r="B3" s="11">
        <v>185</v>
      </c>
      <c r="C3" s="11">
        <v>180</v>
      </c>
      <c r="D3" s="11">
        <v>114</v>
      </c>
      <c r="E3" s="11">
        <v>160</v>
      </c>
      <c r="F3" s="11">
        <v>138</v>
      </c>
      <c r="G3" s="11">
        <v>112</v>
      </c>
      <c r="H3" s="11">
        <v>200</v>
      </c>
      <c r="I3" s="11">
        <v>158</v>
      </c>
      <c r="J3" s="11">
        <v>181</v>
      </c>
      <c r="K3" s="11">
        <v>138</v>
      </c>
      <c r="L3" s="11">
        <v>116</v>
      </c>
      <c r="M3" s="11">
        <v>170</v>
      </c>
    </row>
    <row r="4" spans="1:13" ht="14.4">
      <c r="A4" s="20" t="s">
        <v>100</v>
      </c>
      <c r="B4" s="11">
        <v>114</v>
      </c>
      <c r="C4" s="11">
        <v>152</v>
      </c>
      <c r="D4" s="11">
        <v>164</v>
      </c>
      <c r="E4" s="11">
        <v>169</v>
      </c>
      <c r="F4" s="11">
        <v>119</v>
      </c>
      <c r="G4" s="11">
        <v>141</v>
      </c>
      <c r="H4" s="11">
        <v>179</v>
      </c>
      <c r="I4" s="11">
        <v>126</v>
      </c>
      <c r="J4" s="11">
        <v>119</v>
      </c>
      <c r="K4" s="11">
        <v>109</v>
      </c>
      <c r="L4" s="11">
        <v>196</v>
      </c>
      <c r="M4" s="11">
        <v>141</v>
      </c>
    </row>
    <row r="5" spans="1:13" ht="14.4">
      <c r="A5" s="20" t="s">
        <v>62</v>
      </c>
      <c r="B5" s="11">
        <v>196</v>
      </c>
      <c r="C5" s="11">
        <v>118</v>
      </c>
      <c r="D5" s="11">
        <v>183</v>
      </c>
      <c r="E5" s="11">
        <v>145</v>
      </c>
      <c r="F5" s="11">
        <v>126</v>
      </c>
      <c r="G5" s="11">
        <v>157</v>
      </c>
      <c r="H5" s="11">
        <v>156</v>
      </c>
      <c r="I5" s="11">
        <v>175</v>
      </c>
      <c r="J5" s="11">
        <v>107</v>
      </c>
      <c r="K5" s="11">
        <v>112</v>
      </c>
      <c r="L5" s="11">
        <v>164</v>
      </c>
      <c r="M5" s="11">
        <v>104</v>
      </c>
    </row>
    <row r="6" spans="1:13" ht="14.4">
      <c r="A6" s="20" t="s">
        <v>63</v>
      </c>
      <c r="B6" s="11">
        <v>193</v>
      </c>
      <c r="C6" s="11">
        <v>111</v>
      </c>
      <c r="D6" s="11">
        <v>174</v>
      </c>
      <c r="E6" s="11">
        <v>143</v>
      </c>
      <c r="F6" s="11">
        <v>162</v>
      </c>
      <c r="G6" s="11">
        <v>145</v>
      </c>
      <c r="H6" s="11">
        <v>177</v>
      </c>
      <c r="I6" s="11">
        <v>182</v>
      </c>
      <c r="J6" s="11">
        <v>164</v>
      </c>
      <c r="K6" s="11">
        <v>152</v>
      </c>
      <c r="L6" s="11">
        <v>147</v>
      </c>
      <c r="M6" s="11">
        <v>178</v>
      </c>
    </row>
    <row r="7" spans="1:13" ht="14.4">
      <c r="A7" s="20" t="s">
        <v>101</v>
      </c>
      <c r="B7" s="11">
        <v>122</v>
      </c>
      <c r="C7" s="11">
        <v>164</v>
      </c>
      <c r="D7" s="11">
        <v>152</v>
      </c>
      <c r="E7" s="11">
        <v>133</v>
      </c>
      <c r="F7" s="11">
        <v>118</v>
      </c>
      <c r="G7" s="11">
        <v>132</v>
      </c>
      <c r="H7" s="11">
        <v>158</v>
      </c>
      <c r="I7" s="11">
        <v>159</v>
      </c>
      <c r="J7" s="11">
        <v>175</v>
      </c>
      <c r="K7" s="11">
        <v>150</v>
      </c>
      <c r="L7" s="11">
        <v>127</v>
      </c>
      <c r="M7" s="11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"/>
  <sheetViews>
    <sheetView workbookViewId="0">
      <selection activeCell="H2" sqref="H2"/>
    </sheetView>
  </sheetViews>
  <sheetFormatPr defaultColWidth="14.44140625" defaultRowHeight="15" customHeight="1"/>
  <cols>
    <col min="1" max="1" width="24.44140625" customWidth="1"/>
    <col min="2" max="2" width="10.109375" customWidth="1"/>
    <col min="3" max="3" width="11.33203125" customWidth="1"/>
    <col min="4" max="4" width="10.5546875" customWidth="1"/>
    <col min="5" max="6" width="8.6640625" customWidth="1"/>
    <col min="7" max="7" width="13.109375" customWidth="1"/>
    <col min="8" max="8" width="28.109375" customWidth="1"/>
    <col min="9" max="9" width="10.6640625" customWidth="1"/>
    <col min="10" max="11" width="8.6640625" customWidth="1"/>
  </cols>
  <sheetData>
    <row r="1" spans="1:10" ht="14.4">
      <c r="A1" s="22" t="s">
        <v>4</v>
      </c>
      <c r="B1" s="22" t="s">
        <v>113</v>
      </c>
      <c r="C1" s="22" t="s">
        <v>32</v>
      </c>
      <c r="D1" s="22" t="s">
        <v>114</v>
      </c>
      <c r="G1" s="22" t="s">
        <v>4</v>
      </c>
      <c r="H1" s="22" t="s">
        <v>113</v>
      </c>
      <c r="I1" s="22" t="s">
        <v>32</v>
      </c>
      <c r="J1" s="22" t="s">
        <v>114</v>
      </c>
    </row>
    <row r="2" spans="1:10" ht="14.4">
      <c r="A2" s="11" t="s">
        <v>115</v>
      </c>
      <c r="B2" s="11" t="s">
        <v>81</v>
      </c>
      <c r="C2" s="11" t="s">
        <v>116</v>
      </c>
      <c r="D2" s="11">
        <v>4479</v>
      </c>
      <c r="G2" s="23">
        <v>1100012311</v>
      </c>
      <c r="H2" s="11" t="str">
        <f t="shared" ref="H2:J13" si="0">IFERROR(VLOOKUP(IF(FIND($G2,$A2,1)&gt;0,$A2,""),PRICE,COLUMN()-6,0),"INVALID ID")</f>
        <v>Delhi</v>
      </c>
      <c r="I2" s="11" t="str">
        <f t="shared" si="0"/>
        <v>1100-234</v>
      </c>
      <c r="J2" s="11">
        <f t="shared" si="0"/>
        <v>4479</v>
      </c>
    </row>
    <row r="3" spans="1:10" ht="14.4">
      <c r="A3" s="23">
        <v>1100012312</v>
      </c>
      <c r="B3" s="11" t="s">
        <v>79</v>
      </c>
      <c r="C3" s="11" t="s">
        <v>117</v>
      </c>
      <c r="D3" s="11">
        <v>4210</v>
      </c>
      <c r="G3" s="23">
        <v>1100012312</v>
      </c>
      <c r="H3" s="11" t="str">
        <f t="shared" si="0"/>
        <v>Mumbai</v>
      </c>
      <c r="I3" s="11" t="str">
        <f t="shared" si="0"/>
        <v>1100-235</v>
      </c>
      <c r="J3" s="11">
        <f t="shared" si="0"/>
        <v>4210</v>
      </c>
    </row>
    <row r="4" spans="1:10" ht="14.4">
      <c r="A4" s="11" t="s">
        <v>118</v>
      </c>
      <c r="B4" s="11" t="s">
        <v>119</v>
      </c>
      <c r="C4" s="11" t="s">
        <v>120</v>
      </c>
      <c r="D4" s="11">
        <v>3660</v>
      </c>
      <c r="G4" s="23">
        <v>1100012313</v>
      </c>
      <c r="H4" s="11" t="str">
        <f t="shared" si="0"/>
        <v>Bangluru</v>
      </c>
      <c r="I4" s="11" t="str">
        <f t="shared" si="0"/>
        <v>1100-236</v>
      </c>
      <c r="J4" s="11">
        <f t="shared" si="0"/>
        <v>3660</v>
      </c>
    </row>
    <row r="5" spans="1:10" ht="14.4">
      <c r="A5" s="23">
        <v>1100012314</v>
      </c>
      <c r="B5" s="11" t="s">
        <v>121</v>
      </c>
      <c r="C5" s="11" t="s">
        <v>122</v>
      </c>
      <c r="D5" s="11">
        <v>3992</v>
      </c>
      <c r="G5" s="23">
        <v>1100012314</v>
      </c>
      <c r="H5" s="11" t="str">
        <f t="shared" si="0"/>
        <v>Bhopal</v>
      </c>
      <c r="I5" s="11" t="str">
        <f t="shared" si="0"/>
        <v>1100-324</v>
      </c>
      <c r="J5" s="11">
        <f t="shared" si="0"/>
        <v>3992</v>
      </c>
    </row>
    <row r="6" spans="1:10" ht="14.4">
      <c r="A6" s="23">
        <v>1100012315</v>
      </c>
      <c r="B6" s="11" t="s">
        <v>81</v>
      </c>
      <c r="C6" s="11" t="s">
        <v>123</v>
      </c>
      <c r="D6" s="11">
        <v>4331</v>
      </c>
      <c r="G6" s="23">
        <v>1100012315</v>
      </c>
      <c r="H6" s="11" t="str">
        <f t="shared" si="0"/>
        <v>Delhi</v>
      </c>
      <c r="I6" s="11" t="str">
        <f t="shared" si="0"/>
        <v>1100-453</v>
      </c>
      <c r="J6" s="11">
        <f t="shared" si="0"/>
        <v>4331</v>
      </c>
    </row>
    <row r="7" spans="1:10" ht="14.4">
      <c r="A7" s="11" t="s">
        <v>124</v>
      </c>
      <c r="B7" s="11" t="s">
        <v>79</v>
      </c>
      <c r="C7" s="11" t="s">
        <v>125</v>
      </c>
      <c r="D7" s="11">
        <v>4191</v>
      </c>
      <c r="G7" s="23">
        <v>1100012316</v>
      </c>
      <c r="H7" s="11" t="str">
        <f t="shared" si="0"/>
        <v>Mumbai</v>
      </c>
      <c r="I7" s="11" t="str">
        <f t="shared" si="0"/>
        <v>1100-568</v>
      </c>
      <c r="J7" s="11">
        <f t="shared" si="0"/>
        <v>4191</v>
      </c>
    </row>
    <row r="8" spans="1:10" ht="14.4">
      <c r="A8" s="11" t="s">
        <v>126</v>
      </c>
      <c r="B8" s="11" t="s">
        <v>119</v>
      </c>
      <c r="C8" s="11" t="s">
        <v>127</v>
      </c>
      <c r="D8" s="11">
        <v>3796</v>
      </c>
      <c r="G8" s="23">
        <v>1100012317</v>
      </c>
      <c r="H8" s="11" t="str">
        <f t="shared" si="0"/>
        <v>Bangluru</v>
      </c>
      <c r="I8" s="11" t="str">
        <f t="shared" si="0"/>
        <v>1100-230</v>
      </c>
      <c r="J8" s="11">
        <f t="shared" si="0"/>
        <v>3796</v>
      </c>
    </row>
    <row r="9" spans="1:10" ht="14.4">
      <c r="A9" s="23" t="s">
        <v>128</v>
      </c>
      <c r="B9" s="11" t="s">
        <v>121</v>
      </c>
      <c r="C9" s="11" t="s">
        <v>129</v>
      </c>
      <c r="D9" s="11">
        <v>4148</v>
      </c>
      <c r="G9" s="23">
        <v>1100012318</v>
      </c>
      <c r="H9" s="11" t="str">
        <f t="shared" si="0"/>
        <v>Bhopal</v>
      </c>
      <c r="I9" s="11" t="str">
        <f t="shared" si="0"/>
        <v>1100-987</v>
      </c>
      <c r="J9" s="11">
        <f t="shared" si="0"/>
        <v>4148</v>
      </c>
    </row>
    <row r="10" spans="1:10" ht="14.4">
      <c r="A10" s="23">
        <v>1100012319</v>
      </c>
      <c r="B10" s="11" t="s">
        <v>121</v>
      </c>
      <c r="C10" s="11" t="s">
        <v>130</v>
      </c>
      <c r="D10" s="11">
        <v>4544</v>
      </c>
      <c r="G10" s="23">
        <v>1100012319</v>
      </c>
      <c r="H10" s="11" t="str">
        <f t="shared" si="0"/>
        <v>Bhopal</v>
      </c>
      <c r="I10" s="11" t="str">
        <f t="shared" si="0"/>
        <v>1100-345</v>
      </c>
      <c r="J10" s="11">
        <f t="shared" si="0"/>
        <v>4544</v>
      </c>
    </row>
    <row r="11" spans="1:10" ht="14.4">
      <c r="A11" s="23" t="s">
        <v>131</v>
      </c>
      <c r="B11" s="11" t="s">
        <v>79</v>
      </c>
      <c r="C11" s="11" t="s">
        <v>132</v>
      </c>
      <c r="D11" s="11">
        <v>4344</v>
      </c>
      <c r="G11" s="23">
        <v>1100012320</v>
      </c>
      <c r="H11" s="11" t="str">
        <f t="shared" si="0"/>
        <v>Mumbai</v>
      </c>
      <c r="I11" s="11" t="str">
        <f t="shared" si="0"/>
        <v>1100-090</v>
      </c>
      <c r="J11" s="11">
        <f t="shared" si="0"/>
        <v>4344</v>
      </c>
    </row>
    <row r="12" spans="1:10" ht="14.4">
      <c r="A12" s="11" t="s">
        <v>133</v>
      </c>
      <c r="B12" s="11" t="s">
        <v>134</v>
      </c>
      <c r="C12" s="11" t="s">
        <v>135</v>
      </c>
      <c r="D12" s="11">
        <v>3696</v>
      </c>
      <c r="G12" s="23">
        <v>1100012321</v>
      </c>
      <c r="H12" s="11" t="str">
        <f t="shared" si="0"/>
        <v>Ghaziabad</v>
      </c>
      <c r="I12" s="11" t="str">
        <f t="shared" si="0"/>
        <v>1100-212</v>
      </c>
      <c r="J12" s="11">
        <f t="shared" si="0"/>
        <v>3696</v>
      </c>
    </row>
    <row r="13" spans="1:10" ht="14.4">
      <c r="A13" s="11" t="s">
        <v>136</v>
      </c>
      <c r="B13" s="11" t="s">
        <v>134</v>
      </c>
      <c r="C13" s="11" t="s">
        <v>137</v>
      </c>
      <c r="D13" s="11">
        <v>4260</v>
      </c>
      <c r="G13" s="23">
        <v>1100012322</v>
      </c>
      <c r="H13" s="11" t="str">
        <f t="shared" si="0"/>
        <v>Ghaziabad</v>
      </c>
      <c r="I13" s="11" t="str">
        <f t="shared" si="0"/>
        <v>1100-467</v>
      </c>
      <c r="J13" s="11">
        <f t="shared" si="0"/>
        <v>4260</v>
      </c>
    </row>
    <row r="15" spans="1:10" ht="15" customHeight="1">
      <c r="H15" s="67" t="s">
        <v>189</v>
      </c>
    </row>
    <row r="16" spans="1:10" ht="15" customHeight="1">
      <c r="G16" s="22" t="s">
        <v>4</v>
      </c>
      <c r="H16" s="22" t="s">
        <v>113</v>
      </c>
      <c r="I16" s="22" t="s">
        <v>32</v>
      </c>
      <c r="J16" s="22" t="s">
        <v>114</v>
      </c>
    </row>
    <row r="17" spans="7:8" ht="15" customHeight="1">
      <c r="G17" s="23">
        <v>1100012311</v>
      </c>
      <c r="H17">
        <f>FIND(G17,A2,1)</f>
        <v>1</v>
      </c>
    </row>
    <row r="18" spans="7:8" ht="15" customHeight="1">
      <c r="G18" s="23">
        <v>1100012312</v>
      </c>
      <c r="H18">
        <f t="shared" ref="H18:H28" si="1">FIND(G18,A3,1)</f>
        <v>1</v>
      </c>
    </row>
    <row r="19" spans="7:8" ht="15" customHeight="1">
      <c r="G19" s="23">
        <v>1100012313</v>
      </c>
      <c r="H19">
        <f t="shared" si="1"/>
        <v>1</v>
      </c>
    </row>
    <row r="20" spans="7:8" ht="15" customHeight="1">
      <c r="G20" s="23">
        <v>1100012314</v>
      </c>
      <c r="H20">
        <f t="shared" si="1"/>
        <v>1</v>
      </c>
    </row>
    <row r="21" spans="7:8" ht="15.75" customHeight="1">
      <c r="G21" s="23">
        <v>1100012315</v>
      </c>
      <c r="H21">
        <f t="shared" si="1"/>
        <v>1</v>
      </c>
    </row>
    <row r="22" spans="7:8" ht="15.75" customHeight="1">
      <c r="G22" s="23">
        <v>1100012316</v>
      </c>
      <c r="H22">
        <f t="shared" si="1"/>
        <v>1</v>
      </c>
    </row>
    <row r="23" spans="7:8" ht="15.75" customHeight="1">
      <c r="G23" s="23">
        <v>1100012317</v>
      </c>
      <c r="H23">
        <f t="shared" si="1"/>
        <v>1</v>
      </c>
    </row>
    <row r="24" spans="7:8" ht="15.75" customHeight="1">
      <c r="G24" s="23">
        <v>1100012318</v>
      </c>
      <c r="H24">
        <f t="shared" si="1"/>
        <v>7</v>
      </c>
    </row>
    <row r="25" spans="7:8" ht="15.75" customHeight="1">
      <c r="G25" s="23">
        <v>1100012319</v>
      </c>
      <c r="H25">
        <f t="shared" si="1"/>
        <v>1</v>
      </c>
    </row>
    <row r="26" spans="7:8" ht="15.75" customHeight="1">
      <c r="G26" s="23">
        <v>1100012320</v>
      </c>
      <c r="H26">
        <f t="shared" si="1"/>
        <v>1</v>
      </c>
    </row>
    <row r="27" spans="7:8" ht="15.75" customHeight="1">
      <c r="G27" s="23">
        <v>1100012321</v>
      </c>
      <c r="H27">
        <f t="shared" si="1"/>
        <v>4</v>
      </c>
    </row>
    <row r="28" spans="7:8" ht="15.75" customHeight="1">
      <c r="G28" s="23">
        <v>1100012322</v>
      </c>
      <c r="H28">
        <f t="shared" si="1"/>
        <v>1</v>
      </c>
    </row>
    <row r="29" spans="7:8" ht="15.75" customHeight="1"/>
    <row r="30" spans="7:8" ht="15.75" customHeight="1"/>
    <row r="31" spans="7:8" ht="15.75" customHeight="1"/>
    <row r="32" spans="7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0"/>
  <sheetViews>
    <sheetView topLeftCell="B1" workbookViewId="0">
      <selection activeCell="G3" sqref="G3"/>
    </sheetView>
  </sheetViews>
  <sheetFormatPr defaultColWidth="14.44140625" defaultRowHeight="15" customHeight="1"/>
  <cols>
    <col min="1" max="1" width="16.109375" hidden="1" customWidth="1"/>
    <col min="2" max="2" width="11.88671875" customWidth="1"/>
    <col min="3" max="3" width="10.88671875" customWidth="1"/>
    <col min="4" max="4" width="10.44140625" customWidth="1"/>
    <col min="5" max="5" width="8.6640625" customWidth="1"/>
    <col min="6" max="6" width="11" customWidth="1"/>
    <col min="7" max="7" width="10.33203125" customWidth="1"/>
    <col min="8" max="11" width="8.6640625" customWidth="1"/>
  </cols>
  <sheetData>
    <row r="1" spans="1:10" ht="14.4">
      <c r="A1" t="s">
        <v>138</v>
      </c>
      <c r="B1" s="24" t="s">
        <v>139</v>
      </c>
      <c r="C1" s="24" t="s">
        <v>140</v>
      </c>
      <c r="D1" s="24" t="s">
        <v>141</v>
      </c>
      <c r="F1" s="24" t="s">
        <v>139</v>
      </c>
      <c r="G1" s="24" t="s">
        <v>140</v>
      </c>
      <c r="H1" s="24" t="s">
        <v>141</v>
      </c>
    </row>
    <row r="2" spans="1:10" ht="14.4">
      <c r="A2" t="str">
        <f t="shared" ref="A2:A8" si="0">B2&amp;C2</f>
        <v>Ajay SharmaTally</v>
      </c>
      <c r="B2" s="11" t="s">
        <v>142</v>
      </c>
      <c r="C2" s="11" t="s">
        <v>143</v>
      </c>
      <c r="D2" s="11">
        <v>1500</v>
      </c>
      <c r="F2" t="s">
        <v>144</v>
      </c>
      <c r="G2" t="s">
        <v>145</v>
      </c>
      <c r="H2">
        <f>VLOOKUP(F2&amp;G2,COURSED,4,0)</f>
        <v>3500</v>
      </c>
    </row>
    <row r="3" spans="1:10" ht="14.4">
      <c r="A3" t="str">
        <f t="shared" si="0"/>
        <v>Vikas SinghExcel</v>
      </c>
      <c r="B3" s="11" t="s">
        <v>144</v>
      </c>
      <c r="C3" s="11" t="s">
        <v>145</v>
      </c>
      <c r="D3" s="11">
        <v>3500</v>
      </c>
    </row>
    <row r="4" spans="1:10" ht="14.4">
      <c r="A4" t="str">
        <f t="shared" si="0"/>
        <v>Raj JadhavTally</v>
      </c>
      <c r="B4" s="11" t="s">
        <v>146</v>
      </c>
      <c r="C4" s="11" t="s">
        <v>143</v>
      </c>
      <c r="D4" s="11">
        <v>3500</v>
      </c>
      <c r="G4" s="41" t="s">
        <v>191</v>
      </c>
      <c r="J4" s="52" t="s">
        <v>192</v>
      </c>
    </row>
    <row r="5" spans="1:10" ht="14.4">
      <c r="A5" t="str">
        <f t="shared" si="0"/>
        <v>Anil KumarExcel</v>
      </c>
      <c r="B5" s="11" t="s">
        <v>147</v>
      </c>
      <c r="C5" s="11" t="s">
        <v>145</v>
      </c>
      <c r="D5" s="11">
        <v>1500</v>
      </c>
      <c r="G5" s="41" t="s">
        <v>190</v>
      </c>
    </row>
    <row r="6" spans="1:10" ht="14.4">
      <c r="A6" t="str">
        <f t="shared" si="0"/>
        <v>Vikas SinghTally</v>
      </c>
      <c r="B6" s="11" t="s">
        <v>144</v>
      </c>
      <c r="C6" s="11" t="s">
        <v>143</v>
      </c>
      <c r="D6" s="11">
        <v>2500</v>
      </c>
    </row>
    <row r="7" spans="1:10" ht="14.4">
      <c r="A7" t="str">
        <f t="shared" si="0"/>
        <v>Raj JadhavExcel</v>
      </c>
      <c r="B7" s="11" t="s">
        <v>146</v>
      </c>
      <c r="C7" s="11" t="s">
        <v>145</v>
      </c>
      <c r="D7" s="11">
        <v>6500</v>
      </c>
    </row>
    <row r="8" spans="1:10" ht="14.4">
      <c r="A8" t="str">
        <f t="shared" si="0"/>
        <v>Anil KumarTally</v>
      </c>
      <c r="B8" s="11" t="s">
        <v>147</v>
      </c>
      <c r="C8" s="11" t="s">
        <v>143</v>
      </c>
      <c r="D8" s="11">
        <v>4500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2">
    <dataValidation type="list" allowBlank="1" showErrorMessage="1" sqref="F2" xr:uid="{00000000-0002-0000-1400-000000000000}">
      <formula1>$B$2:$B$8</formula1>
    </dataValidation>
    <dataValidation type="list" allowBlank="1" showErrorMessage="1" sqref="G2" xr:uid="{00000000-0002-0000-1400-000001000000}">
      <formula1>$C$2:$C$8</formula1>
    </dataValidation>
  </dataValidation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0"/>
  <sheetViews>
    <sheetView tabSelected="1" workbookViewId="0">
      <selection activeCell="J17" sqref="J17"/>
    </sheetView>
  </sheetViews>
  <sheetFormatPr defaultColWidth="14.44140625" defaultRowHeight="15" customHeight="1"/>
  <cols>
    <col min="1" max="1" width="12.5546875" customWidth="1"/>
    <col min="2" max="2" width="12" customWidth="1"/>
    <col min="3" max="3" width="12.88671875" customWidth="1"/>
    <col min="4" max="7" width="9.109375" customWidth="1"/>
    <col min="8" max="8" width="13.33203125" customWidth="1"/>
    <col min="9" max="9" width="11.44140625" customWidth="1"/>
    <col min="10" max="10" width="10.6640625" customWidth="1"/>
    <col min="11" max="12" width="9.109375" customWidth="1"/>
  </cols>
  <sheetData>
    <row r="1" spans="1:13" ht="15" customHeight="1">
      <c r="A1" s="25" t="s">
        <v>148</v>
      </c>
      <c r="B1" s="25" t="s">
        <v>149</v>
      </c>
      <c r="C1" s="25" t="s">
        <v>150</v>
      </c>
      <c r="D1" s="26"/>
      <c r="E1" s="26"/>
      <c r="F1" s="72" t="s">
        <v>151</v>
      </c>
      <c r="G1" s="73"/>
      <c r="H1" s="73"/>
      <c r="I1" s="73"/>
      <c r="J1" s="74"/>
      <c r="K1" s="26"/>
      <c r="L1" s="26"/>
    </row>
    <row r="2" spans="1:13" ht="15" customHeight="1">
      <c r="A2" s="11" t="s">
        <v>152</v>
      </c>
      <c r="B2" s="11" t="s">
        <v>153</v>
      </c>
      <c r="C2" s="11">
        <v>21138</v>
      </c>
      <c r="D2" s="26"/>
      <c r="E2" s="26"/>
      <c r="F2" s="75"/>
      <c r="G2" s="76"/>
      <c r="H2" s="76"/>
      <c r="I2" s="76"/>
      <c r="J2" s="77"/>
      <c r="K2" s="26"/>
      <c r="L2" s="26"/>
    </row>
    <row r="3" spans="1:13" ht="15" customHeight="1">
      <c r="A3" s="11" t="s">
        <v>152</v>
      </c>
      <c r="B3" s="11" t="s">
        <v>154</v>
      </c>
      <c r="C3" s="11">
        <v>18717</v>
      </c>
      <c r="D3" s="26"/>
      <c r="E3" s="26"/>
      <c r="F3" s="26"/>
      <c r="G3" s="26"/>
      <c r="H3" s="26"/>
      <c r="I3" s="26"/>
      <c r="J3" s="26"/>
      <c r="K3" s="26"/>
      <c r="L3" s="26"/>
    </row>
    <row r="4" spans="1:13" ht="15" customHeight="1">
      <c r="A4" s="11" t="s">
        <v>152</v>
      </c>
      <c r="B4" s="11" t="s">
        <v>155</v>
      </c>
      <c r="C4" s="11">
        <v>14935</v>
      </c>
      <c r="D4" s="26"/>
      <c r="E4" s="26"/>
      <c r="F4" s="26"/>
      <c r="G4" s="26"/>
      <c r="H4" s="26"/>
      <c r="I4" s="26"/>
      <c r="J4" s="26"/>
      <c r="K4" s="26"/>
      <c r="L4" s="26"/>
    </row>
    <row r="5" spans="1:13" ht="15" customHeight="1">
      <c r="A5" s="11" t="s">
        <v>152</v>
      </c>
      <c r="B5" s="11" t="s">
        <v>156</v>
      </c>
      <c r="C5" s="11">
        <v>12272</v>
      </c>
      <c r="D5" s="26"/>
      <c r="E5" s="26"/>
      <c r="F5" s="68" t="s">
        <v>157</v>
      </c>
      <c r="G5" s="26"/>
      <c r="H5" s="27" t="s">
        <v>139</v>
      </c>
      <c r="I5" s="28" t="s">
        <v>158</v>
      </c>
      <c r="J5" s="26"/>
      <c r="K5" s="26"/>
      <c r="L5" s="26"/>
    </row>
    <row r="6" spans="1:13" ht="15" customHeight="1">
      <c r="A6" s="11" t="s">
        <v>159</v>
      </c>
      <c r="B6" s="11" t="s">
        <v>160</v>
      </c>
      <c r="C6" s="11">
        <v>17170</v>
      </c>
      <c r="D6" s="26"/>
      <c r="E6" s="26"/>
      <c r="F6" s="69"/>
      <c r="G6" s="26"/>
      <c r="H6" s="27" t="s">
        <v>161</v>
      </c>
      <c r="I6" s="29">
        <f t="array" ref="I6">VLOOKUP(H6,CHOOSE({1,2},A2:A15&amp;" "&amp;B2:B15,C2:C15),2,0)</f>
        <v>21138</v>
      </c>
      <c r="J6" s="26" t="s">
        <v>193</v>
      </c>
      <c r="K6" s="26"/>
      <c r="L6" s="26"/>
    </row>
    <row r="7" spans="1:13" ht="15" customHeight="1">
      <c r="A7" s="11" t="s">
        <v>159</v>
      </c>
      <c r="B7" s="11" t="s">
        <v>156</v>
      </c>
      <c r="C7" s="11">
        <v>15754</v>
      </c>
      <c r="D7" s="26"/>
      <c r="E7" s="26"/>
      <c r="F7" s="30"/>
      <c r="G7" s="26"/>
      <c r="H7" s="26"/>
      <c r="I7" s="26"/>
      <c r="J7" s="26"/>
      <c r="K7" s="26"/>
      <c r="L7" s="26"/>
      <c r="M7" s="52" t="s">
        <v>194</v>
      </c>
    </row>
    <row r="8" spans="1:13" ht="15" customHeight="1">
      <c r="A8" s="11" t="s">
        <v>159</v>
      </c>
      <c r="B8" s="11" t="s">
        <v>162</v>
      </c>
      <c r="C8" s="11">
        <v>25766</v>
      </c>
      <c r="D8" s="26"/>
      <c r="E8" s="26"/>
      <c r="F8" s="30"/>
      <c r="G8" s="26"/>
      <c r="H8" s="26"/>
      <c r="I8" s="26"/>
      <c r="J8" s="26"/>
      <c r="K8" s="26"/>
      <c r="L8" s="26"/>
      <c r="M8" s="52" t="s">
        <v>195</v>
      </c>
    </row>
    <row r="9" spans="1:13" ht="15" customHeight="1">
      <c r="A9" s="11" t="s">
        <v>159</v>
      </c>
      <c r="B9" s="11" t="s">
        <v>153</v>
      </c>
      <c r="C9" s="11">
        <v>25843</v>
      </c>
      <c r="D9" s="26"/>
      <c r="E9" s="26"/>
      <c r="F9" s="70" t="s">
        <v>163</v>
      </c>
      <c r="G9" s="26"/>
      <c r="H9" s="27" t="s">
        <v>139</v>
      </c>
      <c r="I9" s="28" t="s">
        <v>158</v>
      </c>
      <c r="J9" s="26"/>
      <c r="K9" s="26"/>
      <c r="L9" s="26"/>
    </row>
    <row r="10" spans="1:13" ht="15" customHeight="1">
      <c r="A10" s="11" t="s">
        <v>164</v>
      </c>
      <c r="B10" s="11" t="s">
        <v>160</v>
      </c>
      <c r="C10" s="11">
        <v>24866</v>
      </c>
      <c r="D10" s="26"/>
      <c r="E10" s="26"/>
      <c r="F10" s="69"/>
      <c r="G10" s="26"/>
      <c r="H10" s="27" t="s">
        <v>165</v>
      </c>
      <c r="I10" s="29">
        <f t="array" ref="I10">VLOOKUP(H10,CHOOSE({1,2},A2:A15&amp;B2:B15,C2:C15),2,0)</f>
        <v>19497</v>
      </c>
      <c r="J10" s="26"/>
      <c r="K10" s="26"/>
      <c r="L10" s="26"/>
    </row>
    <row r="11" spans="1:13" ht="15" customHeight="1">
      <c r="A11" s="11" t="s">
        <v>164</v>
      </c>
      <c r="B11" s="11" t="s">
        <v>156</v>
      </c>
      <c r="C11" s="11">
        <v>23181</v>
      </c>
      <c r="D11" s="26"/>
      <c r="E11" s="26"/>
      <c r="F11" s="30"/>
      <c r="G11" s="26"/>
      <c r="H11" s="26"/>
      <c r="I11" s="26"/>
      <c r="J11" s="26"/>
      <c r="K11" s="26"/>
      <c r="L11" s="26"/>
    </row>
    <row r="12" spans="1:13" ht="15" customHeight="1">
      <c r="A12" s="11" t="s">
        <v>164</v>
      </c>
      <c r="B12" s="11" t="s">
        <v>162</v>
      </c>
      <c r="C12" s="11">
        <v>19497</v>
      </c>
      <c r="D12" s="26"/>
      <c r="E12" s="26"/>
      <c r="F12" s="30"/>
      <c r="G12" s="26"/>
      <c r="H12" s="26"/>
      <c r="I12" s="26"/>
      <c r="J12" s="26"/>
      <c r="K12" s="26"/>
      <c r="L12" s="26"/>
    </row>
    <row r="13" spans="1:13" ht="15" customHeight="1">
      <c r="A13" s="11" t="s">
        <v>164</v>
      </c>
      <c r="B13" s="11" t="s">
        <v>153</v>
      </c>
      <c r="C13" s="11">
        <v>10493</v>
      </c>
      <c r="D13" s="26"/>
      <c r="E13" s="26"/>
      <c r="F13" s="71" t="s">
        <v>166</v>
      </c>
      <c r="G13" s="26"/>
      <c r="H13" s="11" t="s">
        <v>148</v>
      </c>
      <c r="I13" s="11" t="s">
        <v>149</v>
      </c>
      <c r="J13" s="11" t="s">
        <v>158</v>
      </c>
      <c r="K13" s="26"/>
      <c r="L13" s="26"/>
    </row>
    <row r="14" spans="1:13" ht="15" customHeight="1">
      <c r="A14" s="11" t="s">
        <v>167</v>
      </c>
      <c r="B14" s="11" t="s">
        <v>168</v>
      </c>
      <c r="C14" s="11">
        <v>10493</v>
      </c>
      <c r="D14" s="26"/>
      <c r="E14" s="26"/>
      <c r="F14" s="69"/>
      <c r="G14" s="26"/>
      <c r="H14" s="27" t="s">
        <v>152</v>
      </c>
      <c r="I14" s="31" t="s">
        <v>156</v>
      </c>
      <c r="J14" s="29">
        <f t="array" ref="J14">VLOOKUP(H14&amp;I14,CHOOSE({1,2},A2:A15&amp;B2:B15,C2:C15),2,0)</f>
        <v>12272</v>
      </c>
      <c r="K14" s="26"/>
      <c r="L14" s="26"/>
    </row>
    <row r="15" spans="1:13" ht="15" customHeight="1">
      <c r="A15" s="11" t="s">
        <v>152</v>
      </c>
      <c r="B15" s="11" t="s">
        <v>169</v>
      </c>
      <c r="C15" s="11">
        <v>10493</v>
      </c>
      <c r="D15" s="26"/>
      <c r="E15" s="26"/>
      <c r="F15" s="26"/>
      <c r="G15" s="26"/>
      <c r="H15" s="26"/>
      <c r="I15" s="26"/>
      <c r="J15" s="26"/>
      <c r="K15" s="26"/>
      <c r="L15" s="26"/>
    </row>
    <row r="16" spans="1:13" ht="14.4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ht="15" customHeight="1">
      <c r="A17" s="26"/>
      <c r="B17" s="26"/>
      <c r="C17" s="26"/>
      <c r="D17" s="26"/>
      <c r="E17" s="26"/>
      <c r="F17" s="30"/>
      <c r="G17" s="26"/>
      <c r="H17" s="26"/>
      <c r="I17" s="26"/>
      <c r="J17" s="91" t="s">
        <v>196</v>
      </c>
      <c r="K17" s="26"/>
      <c r="L17" s="26"/>
    </row>
    <row r="18" spans="1:12" ht="15" customHeight="1">
      <c r="A18" s="26"/>
      <c r="B18" s="26"/>
      <c r="C18" s="26"/>
      <c r="D18" s="26"/>
      <c r="E18" s="26"/>
      <c r="F18" s="30"/>
      <c r="G18" s="26"/>
      <c r="H18" s="26"/>
      <c r="I18" s="26"/>
      <c r="J18" s="26"/>
      <c r="K18" s="26"/>
      <c r="L18" s="26"/>
    </row>
    <row r="19" spans="1:12" ht="14.4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1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32"/>
    </row>
    <row r="21" spans="1:12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12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2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1:12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1:12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1:12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spans="1:12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1:12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1:1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1:12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spans="1:12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1:12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spans="1:12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spans="1:12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1:12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1:12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1:12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1:12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1:12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1:12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1:12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2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2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2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2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12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2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1:12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12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1:1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spans="1:12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12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1:12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1:12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1:12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1:12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1:12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1:1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1:12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spans="1:12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1:12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spans="1:12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spans="1:12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spans="1:12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spans="1:12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spans="1:12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spans="1:12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1:1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1:12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spans="1:12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spans="1:12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spans="1:12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spans="1:12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spans="1:12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spans="1:12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1:12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 spans="1:12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spans="1:1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spans="1:12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 spans="1:12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spans="1:12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1:12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 spans="1:12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spans="1:12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spans="1:12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 spans="1:12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</sheetData>
  <mergeCells count="4">
    <mergeCell ref="F5:F6"/>
    <mergeCell ref="F9:F10"/>
    <mergeCell ref="F13:F14"/>
    <mergeCell ref="F1:J2"/>
  </mergeCells>
  <pageMargins left="0.7" right="0.7" top="0.75" bottom="0.75" header="0" footer="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00"/>
  <sheetViews>
    <sheetView workbookViewId="0"/>
  </sheetViews>
  <sheetFormatPr defaultColWidth="14.44140625" defaultRowHeight="15" customHeight="1"/>
  <cols>
    <col min="1" max="1" width="9.109375" customWidth="1"/>
    <col min="2" max="2" width="10.33203125" customWidth="1"/>
    <col min="3" max="3" width="10" customWidth="1"/>
    <col min="4" max="4" width="10.5546875" customWidth="1"/>
    <col min="5" max="5" width="11.5546875" customWidth="1"/>
    <col min="6" max="7" width="9.109375" customWidth="1"/>
    <col min="8" max="8" width="11.88671875" customWidth="1"/>
    <col min="9" max="9" width="11" customWidth="1"/>
    <col min="10" max="11" width="9.109375" customWidth="1"/>
  </cols>
  <sheetData>
    <row r="1" spans="1:11" ht="14.4">
      <c r="A1" s="11" t="s">
        <v>113</v>
      </c>
      <c r="B1" s="11" t="s">
        <v>170</v>
      </c>
      <c r="C1" s="11" t="s">
        <v>171</v>
      </c>
      <c r="D1" s="11" t="s">
        <v>172</v>
      </c>
      <c r="E1" s="11" t="s">
        <v>173</v>
      </c>
      <c r="F1" s="5"/>
      <c r="G1" s="5"/>
      <c r="H1" s="5">
        <v>1</v>
      </c>
      <c r="I1" s="5">
        <v>3</v>
      </c>
      <c r="J1" s="5"/>
      <c r="K1" s="5"/>
    </row>
    <row r="2" spans="1:11" ht="14.4">
      <c r="A2" s="11" t="s">
        <v>81</v>
      </c>
      <c r="B2" s="11">
        <v>1087</v>
      </c>
      <c r="C2" s="11">
        <v>1660</v>
      </c>
      <c r="D2" s="11">
        <v>1258</v>
      </c>
      <c r="E2" s="11">
        <v>1607</v>
      </c>
      <c r="F2" s="5"/>
      <c r="G2" s="5"/>
      <c r="H2" s="11" t="str">
        <f t="array" ref="H2">INDEX(B1:E1,0,H1)</f>
        <v>Year 2017</v>
      </c>
      <c r="I2" s="11" t="str">
        <f t="array" ref="I2">INDEX(B1:E1,0,I1)</f>
        <v>Year 2019</v>
      </c>
      <c r="J2" s="5"/>
      <c r="K2" s="5"/>
    </row>
    <row r="3" spans="1:11" ht="14.4">
      <c r="A3" s="11" t="s">
        <v>79</v>
      </c>
      <c r="B3" s="11">
        <v>1009</v>
      </c>
      <c r="C3" s="11">
        <v>1281</v>
      </c>
      <c r="D3" s="11">
        <v>1669</v>
      </c>
      <c r="E3" s="11">
        <v>1754</v>
      </c>
      <c r="F3" s="5"/>
      <c r="G3" s="11" t="s">
        <v>81</v>
      </c>
      <c r="H3" s="11">
        <f t="shared" ref="H3:I3" si="0">VLOOKUP($G3,$A$1:$E$5,MATCH(H$2,$A$1:$E$1,0),0)</f>
        <v>1087</v>
      </c>
      <c r="I3" s="11">
        <f t="shared" si="0"/>
        <v>1258</v>
      </c>
      <c r="J3" s="5"/>
      <c r="K3" s="5"/>
    </row>
    <row r="4" spans="1:11" ht="14.4">
      <c r="A4" s="11" t="s">
        <v>87</v>
      </c>
      <c r="B4" s="11">
        <v>1460</v>
      </c>
      <c r="C4" s="11">
        <v>1382</v>
      </c>
      <c r="D4" s="11">
        <v>1286</v>
      </c>
      <c r="E4" s="11">
        <v>1652</v>
      </c>
      <c r="F4" s="5"/>
      <c r="G4" s="11" t="s">
        <v>79</v>
      </c>
      <c r="H4" s="11">
        <f t="shared" ref="H4:I4" si="1">VLOOKUP($G4,$A$1:$E$5,MATCH(H$2,$A$1:$E$1,0),0)</f>
        <v>1009</v>
      </c>
      <c r="I4" s="11">
        <f t="shared" si="1"/>
        <v>1669</v>
      </c>
      <c r="J4" s="5"/>
      <c r="K4" s="5"/>
    </row>
    <row r="5" spans="1:11" ht="14.4">
      <c r="A5" s="11" t="s">
        <v>84</v>
      </c>
      <c r="B5" s="11">
        <v>1792</v>
      </c>
      <c r="C5" s="11">
        <v>1148</v>
      </c>
      <c r="D5" s="11">
        <v>1629</v>
      </c>
      <c r="E5" s="11">
        <v>1579</v>
      </c>
      <c r="F5" s="5"/>
      <c r="G5" s="11" t="s">
        <v>87</v>
      </c>
      <c r="H5" s="11">
        <f t="shared" ref="H5:I5" si="2">VLOOKUP($G5,$A$1:$E$5,MATCH(H$2,$A$1:$E$1,0),0)</f>
        <v>1460</v>
      </c>
      <c r="I5" s="11">
        <f t="shared" si="2"/>
        <v>1286</v>
      </c>
      <c r="J5" s="5"/>
      <c r="K5" s="5"/>
    </row>
    <row r="6" spans="1:11" ht="14.4">
      <c r="A6" s="5"/>
      <c r="B6" s="5"/>
      <c r="C6" s="5"/>
      <c r="D6" s="5"/>
      <c r="E6" s="5"/>
      <c r="F6" s="5"/>
      <c r="G6" s="11" t="s">
        <v>84</v>
      </c>
      <c r="H6" s="11">
        <f t="shared" ref="H6:I6" si="3">VLOOKUP($G6,$A$1:$E$5,MATCH(H$2,$A$1:$E$1,0),0)</f>
        <v>1792</v>
      </c>
      <c r="I6" s="11">
        <f t="shared" si="3"/>
        <v>1629</v>
      </c>
      <c r="J6" s="5"/>
      <c r="K6" s="5"/>
    </row>
    <row r="7" spans="1:11" ht="14.4">
      <c r="A7" s="5" t="s">
        <v>170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4.4">
      <c r="A8" s="5" t="s">
        <v>171</v>
      </c>
      <c r="B8" s="5"/>
      <c r="C8" s="5"/>
      <c r="D8" s="5"/>
      <c r="E8" s="33"/>
      <c r="F8" s="34"/>
      <c r="G8" s="34"/>
      <c r="H8" s="34"/>
      <c r="I8" s="34"/>
      <c r="J8" s="34"/>
      <c r="K8" s="35"/>
    </row>
    <row r="9" spans="1:11" ht="14.4">
      <c r="A9" s="5" t="s">
        <v>172</v>
      </c>
      <c r="B9" s="5"/>
      <c r="C9" s="5"/>
      <c r="D9" s="5"/>
      <c r="E9" s="36"/>
      <c r="F9" s="5"/>
      <c r="G9" s="5"/>
      <c r="H9" s="5"/>
      <c r="I9" s="5"/>
      <c r="J9" s="5"/>
      <c r="K9" s="37"/>
    </row>
    <row r="10" spans="1:11" ht="14.4">
      <c r="A10" s="5" t="s">
        <v>173</v>
      </c>
      <c r="B10" s="5"/>
      <c r="C10" s="5"/>
      <c r="D10" s="5"/>
      <c r="E10" s="36"/>
      <c r="F10" s="5"/>
      <c r="G10" s="5"/>
      <c r="H10" s="5"/>
      <c r="I10" s="5"/>
      <c r="J10" s="5"/>
      <c r="K10" s="37"/>
    </row>
    <row r="11" spans="1:11" ht="14.4">
      <c r="A11" s="5"/>
      <c r="B11" s="5"/>
      <c r="C11" s="5"/>
      <c r="D11" s="5"/>
      <c r="E11" s="36"/>
      <c r="F11" s="5"/>
      <c r="G11" s="5"/>
      <c r="H11" s="5"/>
      <c r="I11" s="5"/>
      <c r="J11" s="5"/>
      <c r="K11" s="37"/>
    </row>
    <row r="12" spans="1:11" ht="14.4">
      <c r="A12" s="5"/>
      <c r="B12" s="5"/>
      <c r="C12" s="5"/>
      <c r="D12" s="5"/>
      <c r="E12" s="36"/>
      <c r="F12" s="5"/>
      <c r="G12" s="5"/>
      <c r="H12" s="5"/>
      <c r="I12" s="5"/>
      <c r="J12" s="5"/>
      <c r="K12" s="37"/>
    </row>
    <row r="13" spans="1:11" ht="14.4">
      <c r="A13" s="5"/>
      <c r="B13" s="5"/>
      <c r="C13" s="5"/>
      <c r="D13" s="5"/>
      <c r="E13" s="36"/>
      <c r="F13" s="5"/>
      <c r="G13" s="5"/>
      <c r="H13" s="5"/>
      <c r="I13" s="5"/>
      <c r="J13" s="5"/>
      <c r="K13" s="37"/>
    </row>
    <row r="14" spans="1:11" ht="14.4">
      <c r="A14" s="5"/>
      <c r="B14" s="5"/>
      <c r="C14" s="5"/>
      <c r="D14" s="5"/>
      <c r="E14" s="36"/>
      <c r="F14" s="5"/>
      <c r="G14" s="5"/>
      <c r="H14" s="5"/>
      <c r="I14" s="5"/>
      <c r="J14" s="5"/>
      <c r="K14" s="37"/>
    </row>
    <row r="15" spans="1:11" ht="14.4">
      <c r="A15" s="5"/>
      <c r="B15" s="5"/>
      <c r="C15" s="5"/>
      <c r="D15" s="5"/>
      <c r="E15" s="36"/>
      <c r="F15" s="5"/>
      <c r="G15" s="5"/>
      <c r="H15" s="5"/>
      <c r="I15" s="5"/>
      <c r="J15" s="5"/>
      <c r="K15" s="37"/>
    </row>
    <row r="16" spans="1:11" ht="14.4">
      <c r="A16" s="5"/>
      <c r="B16" s="5"/>
      <c r="C16" s="5"/>
      <c r="D16" s="5"/>
      <c r="E16" s="36"/>
      <c r="F16" s="5"/>
      <c r="G16" s="5"/>
      <c r="H16" s="5"/>
      <c r="I16" s="5"/>
      <c r="J16" s="5"/>
      <c r="K16" s="37"/>
    </row>
    <row r="17" spans="1:11" ht="14.4">
      <c r="A17" s="5"/>
      <c r="B17" s="5"/>
      <c r="C17" s="5"/>
      <c r="D17" s="5"/>
      <c r="E17" s="36"/>
      <c r="F17" s="5"/>
      <c r="G17" s="5"/>
      <c r="H17" s="5"/>
      <c r="I17" s="5"/>
      <c r="J17" s="5"/>
      <c r="K17" s="37"/>
    </row>
    <row r="18" spans="1:11" ht="14.4">
      <c r="A18" s="5"/>
      <c r="B18" s="5"/>
      <c r="C18" s="5"/>
      <c r="D18" s="5"/>
      <c r="E18" s="36"/>
      <c r="F18" s="5"/>
      <c r="G18" s="5"/>
      <c r="H18" s="5"/>
      <c r="I18" s="5"/>
      <c r="J18" s="5"/>
      <c r="K18" s="37"/>
    </row>
    <row r="19" spans="1:11" ht="14.4">
      <c r="A19" s="5"/>
      <c r="B19" s="5"/>
      <c r="C19" s="5"/>
      <c r="D19" s="5"/>
      <c r="E19" s="36"/>
      <c r="F19" s="5"/>
      <c r="G19" s="5"/>
      <c r="H19" s="5"/>
      <c r="I19" s="5"/>
      <c r="J19" s="5"/>
      <c r="K19" s="37"/>
    </row>
    <row r="20" spans="1:11" ht="14.4">
      <c r="A20" s="5"/>
      <c r="B20" s="5"/>
      <c r="C20" s="5"/>
      <c r="D20" s="5"/>
      <c r="E20" s="36"/>
      <c r="F20" s="5"/>
      <c r="G20" s="5"/>
      <c r="H20" s="5"/>
      <c r="I20" s="5"/>
      <c r="J20" s="5"/>
      <c r="K20" s="37"/>
    </row>
    <row r="21" spans="1:11" ht="15.75" customHeight="1">
      <c r="A21" s="5"/>
      <c r="B21" s="5"/>
      <c r="C21" s="5"/>
      <c r="D21" s="5"/>
      <c r="E21" s="36"/>
      <c r="F21" s="5"/>
      <c r="G21" s="5"/>
      <c r="H21" s="5"/>
      <c r="I21" s="5"/>
      <c r="J21" s="5"/>
      <c r="K21" s="37"/>
    </row>
    <row r="22" spans="1:11" ht="15.75" customHeight="1">
      <c r="A22" s="5"/>
      <c r="B22" s="5"/>
      <c r="C22" s="5"/>
      <c r="D22" s="5"/>
      <c r="E22" s="36"/>
      <c r="F22" s="5"/>
      <c r="G22" s="5"/>
      <c r="H22" s="5"/>
      <c r="I22" s="5"/>
      <c r="J22" s="5"/>
      <c r="K22" s="37"/>
    </row>
    <row r="23" spans="1:11" ht="15.75" customHeight="1">
      <c r="A23" s="5"/>
      <c r="B23" s="5"/>
      <c r="C23" s="5"/>
      <c r="D23" s="5"/>
      <c r="E23" s="38"/>
      <c r="F23" s="39"/>
      <c r="G23" s="39"/>
      <c r="H23" s="39"/>
      <c r="I23" s="39"/>
      <c r="J23" s="39"/>
      <c r="K23" s="40"/>
    </row>
    <row r="24" spans="1:11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19</vt:i4>
      </vt:variant>
    </vt:vector>
  </HeadingPairs>
  <TitlesOfParts>
    <vt:vector size="42" baseType="lpstr">
      <vt:lpstr>Excel Tutorial</vt:lpstr>
      <vt:lpstr>1- Introduction Vlookup</vt:lpstr>
      <vt:lpstr>2- Range Lookup</vt:lpstr>
      <vt:lpstr>3- IF Error Vlookup</vt:lpstr>
      <vt:lpstr>4 - Nested Vlookup</vt:lpstr>
      <vt:lpstr>5- Filter Using Vlookup</vt:lpstr>
      <vt:lpstr>6 - Double Vlookup</vt:lpstr>
      <vt:lpstr>7 - Multi Table V-Lookup</vt:lpstr>
      <vt:lpstr>8 - Multi Sheet Vlookup</vt:lpstr>
      <vt:lpstr>DATA1</vt:lpstr>
      <vt:lpstr>DATA2</vt:lpstr>
      <vt:lpstr>DATA3</vt:lpstr>
      <vt:lpstr>8 - Vlookup on Workbook</vt:lpstr>
      <vt:lpstr>8 - Vlookup Interview Question</vt:lpstr>
      <vt:lpstr>New Data</vt:lpstr>
      <vt:lpstr>9 - Reverse Lookup with Choose</vt:lpstr>
      <vt:lpstr>10 - R-Lookup Index Match</vt:lpstr>
      <vt:lpstr>11 - Vlookup + Match</vt:lpstr>
      <vt:lpstr> Backupdata</vt:lpstr>
      <vt:lpstr>12 - Vlookup with Find</vt:lpstr>
      <vt:lpstr>13 - 2 Lookups Value</vt:lpstr>
      <vt:lpstr>14 - Vlookup Twist</vt:lpstr>
      <vt:lpstr>15 - Use Vlookup to Create MIS </vt:lpstr>
      <vt:lpstr>COURSED</vt:lpstr>
      <vt:lpstr>Data1</vt:lpstr>
      <vt:lpstr>Data2</vt:lpstr>
      <vt:lpstr>Data3</vt:lpstr>
      <vt:lpstr>list1</vt:lpstr>
      <vt:lpstr>List2</vt:lpstr>
      <vt:lpstr>list3</vt:lpstr>
      <vt:lpstr>list4</vt:lpstr>
      <vt:lpstr>list5</vt:lpstr>
      <vt:lpstr>list6</vt:lpstr>
      <vt:lpstr>location</vt:lpstr>
      <vt:lpstr>monthdata</vt:lpstr>
      <vt:lpstr>Monthlist</vt:lpstr>
      <vt:lpstr>PRICE</vt:lpstr>
      <vt:lpstr>ProductT</vt:lpstr>
      <vt:lpstr>Qty</vt:lpstr>
      <vt:lpstr>Target</vt:lpstr>
      <vt:lpstr>Zone</vt:lpstr>
      <vt:lpstr>ZoneT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</dc:creator>
  <cp:lastModifiedBy>Sameer Hawal</cp:lastModifiedBy>
  <dcterms:created xsi:type="dcterms:W3CDTF">2020-09-27T13:19:57Z</dcterms:created>
  <dcterms:modified xsi:type="dcterms:W3CDTF">2026-03-20T16:56:55Z</dcterms:modified>
</cp:coreProperties>
</file>