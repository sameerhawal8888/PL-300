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Excel Vlookup\#SD65\"/>
    </mc:Choice>
  </mc:AlternateContent>
  <xr:revisionPtr revIDLastSave="0" documentId="13_ncr:1_{CE98777D-67AE-41A7-874F-0A1CC3AD08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JoyltRVWjAInrYA/Ah98CUamyyj5brveVy1HGm3v+ao="/>
    </ext>
  </extLst>
</workbook>
</file>

<file path=xl/calcChain.xml><?xml version="1.0" encoding="utf-8"?>
<calcChain xmlns="http://schemas.openxmlformats.org/spreadsheetml/2006/main">
  <c r="K18" i="1" l="1"/>
  <c r="N3" i="1" l="1"/>
  <c r="N4" i="1"/>
  <c r="N5" i="1"/>
  <c r="N6" i="1"/>
  <c r="N2" i="1"/>
  <c r="J22" i="1"/>
  <c r="J21" i="1"/>
  <c r="J20" i="1"/>
  <c r="J19" i="1"/>
  <c r="J18" i="1"/>
  <c r="J14" i="1"/>
  <c r="J13" i="1"/>
  <c r="J12" i="1"/>
  <c r="J11" i="1"/>
  <c r="L10" i="1"/>
  <c r="J10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<sst xmlns="http://schemas.openxmlformats.org/spreadsheetml/2006/main" count="89" uniqueCount="37">
  <si>
    <t>EmpID</t>
  </si>
  <si>
    <t>Name</t>
  </si>
  <si>
    <t>Age</t>
  </si>
  <si>
    <t>Gender</t>
  </si>
  <si>
    <t>Position</t>
  </si>
  <si>
    <t>Salary</t>
  </si>
  <si>
    <t>Aniruddha Kale</t>
  </si>
  <si>
    <t>Male</t>
  </si>
  <si>
    <t>Sales</t>
  </si>
  <si>
    <t>Aslam Raza</t>
  </si>
  <si>
    <t>Female</t>
  </si>
  <si>
    <t>Finance</t>
  </si>
  <si>
    <t>Roshan Zameer</t>
  </si>
  <si>
    <t>Operations</t>
  </si>
  <si>
    <t>Rakesh Sharma</t>
  </si>
  <si>
    <t>Shivanand Sahani</t>
  </si>
  <si>
    <t>Product Manager</t>
  </si>
  <si>
    <t>Kuntal Patra</t>
  </si>
  <si>
    <t>Data Scientist</t>
  </si>
  <si>
    <t>Bijendra Singh</t>
  </si>
  <si>
    <t>Kranti Bheke</t>
  </si>
  <si>
    <t>Marketing</t>
  </si>
  <si>
    <t>Jagdeep Paward</t>
  </si>
  <si>
    <t>Adhir Samal</t>
  </si>
  <si>
    <t>Dannana Jhammi</t>
  </si>
  <si>
    <t>Vipin Kumar</t>
  </si>
  <si>
    <t>Ranjeet Kumar</t>
  </si>
  <si>
    <t>HR</t>
  </si>
  <si>
    <t>Sajal Singhal</t>
  </si>
  <si>
    <t>Akhilesh Kumar</t>
  </si>
  <si>
    <t>Suvankar Chakraborty</t>
  </si>
  <si>
    <t>Software Engineer</t>
  </si>
  <si>
    <t>Suvankar Adhikary</t>
  </si>
  <si>
    <t>Support</t>
  </si>
  <si>
    <t>LookupValue</t>
  </si>
  <si>
    <t>The Above is table array</t>
  </si>
  <si>
    <t>Row() is always used with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</si>
</sst>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1" fillId="3" borderId="2" xfId="0" applyFont="1" applyFill="1" applyBorder="1" applyAlignment="1">
      <alignment horizontal="center" vertical="top"/>
    </xf>
    <xf numFmtId="0" fontId="0" fillId="3" borderId="2" xfId="0" applyFill="1" applyBorder="1"/>
    <xf numFmtId="0" fontId="3" fillId="3" borderId="2" xfId="0" applyFont="1" applyFill="1" applyBorder="1"/>
    <xf numFmtId="0" fontId="2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J14" sqref="J14"/>
    </sheetView>
  </sheetViews>
  <sheetFormatPr defaultColWidth="14.44140625" defaultRowHeight="15" customHeight="1" x14ac:dyDescent="0.3"/>
  <cols>
    <col min="1" max="1" width="11.5546875" customWidth="1"/>
    <col min="2" max="2" width="19.33203125" customWidth="1"/>
    <col min="3" max="3" width="6.6640625" customWidth="1"/>
    <col min="4" max="4" width="8.109375" customWidth="1"/>
    <col min="5" max="5" width="16.109375" customWidth="1"/>
    <col min="6" max="6" width="10.6640625" customWidth="1"/>
    <col min="7" max="8" width="8.6640625" customWidth="1"/>
    <col min="9" max="9" width="14.33203125" customWidth="1"/>
    <col min="10" max="10" width="19.33203125" customWidth="1"/>
    <col min="11" max="11" width="14.6640625" customWidth="1"/>
    <col min="12" max="13" width="8.6640625" customWidth="1"/>
    <col min="14" max="14" width="13.6640625" bestFit="1" customWidth="1"/>
    <col min="15" max="15" width="12.109375" bestFit="1" customWidth="1"/>
    <col min="16" max="26" width="8.6640625" customWidth="1"/>
  </cols>
  <sheetData>
    <row r="1" spans="1:26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0</v>
      </c>
      <c r="J1" s="2">
        <v>1004</v>
      </c>
      <c r="K1" s="2">
        <v>1004</v>
      </c>
      <c r="M1" s="14" t="s">
        <v>0</v>
      </c>
      <c r="N1" s="15">
        <v>1003</v>
      </c>
      <c r="O1" s="16" t="s">
        <v>34</v>
      </c>
    </row>
    <row r="2" spans="1:26" ht="20.25" customHeight="1" x14ac:dyDescent="0.3">
      <c r="A2" s="3">
        <v>1001</v>
      </c>
      <c r="B2" s="3" t="s">
        <v>6</v>
      </c>
      <c r="C2" s="3">
        <v>37</v>
      </c>
      <c r="D2" s="3" t="s">
        <v>7</v>
      </c>
      <c r="E2" s="3" t="s">
        <v>8</v>
      </c>
      <c r="F2" s="3">
        <v>149030</v>
      </c>
      <c r="G2" s="4"/>
      <c r="H2" s="5">
        <v>2</v>
      </c>
      <c r="I2" s="1" t="s">
        <v>1</v>
      </c>
      <c r="J2" s="6" t="str">
        <f t="shared" ref="J2:J6" si="0">VLOOKUP($J$1,$A$1:$F$18,H2,0)</f>
        <v>Rakesh Sharma</v>
      </c>
      <c r="K2" s="7" t="str">
        <f t="shared" ref="K2:K6" si="1">VLOOKUP($K$1,$A$1:$F$18,ROW(),0)</f>
        <v>Rakesh Sharma</v>
      </c>
      <c r="L2" s="4">
        <v>2</v>
      </c>
      <c r="M2" s="14" t="s">
        <v>1</v>
      </c>
      <c r="N2" s="17" t="str">
        <f>VLOOKUP($N$1,$A$1:$F$18,ROW(),0)</f>
        <v>Roshan Zameer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0.25" customHeight="1" x14ac:dyDescent="0.3">
      <c r="A3" s="3">
        <v>1002</v>
      </c>
      <c r="B3" s="3" t="s">
        <v>9</v>
      </c>
      <c r="C3" s="3">
        <v>46</v>
      </c>
      <c r="D3" s="3" t="s">
        <v>10</v>
      </c>
      <c r="E3" s="3" t="s">
        <v>11</v>
      </c>
      <c r="F3" s="3">
        <v>182507</v>
      </c>
      <c r="G3" s="4"/>
      <c r="H3" s="5">
        <v>3</v>
      </c>
      <c r="I3" s="1" t="s">
        <v>2</v>
      </c>
      <c r="J3" s="6">
        <f t="shared" si="0"/>
        <v>59</v>
      </c>
      <c r="K3" s="7">
        <f t="shared" si="1"/>
        <v>59</v>
      </c>
      <c r="L3" s="4">
        <v>3</v>
      </c>
      <c r="M3" s="14" t="s">
        <v>2</v>
      </c>
      <c r="N3" s="17">
        <f t="shared" ref="N3:N6" si="2">VLOOKUP($N$1,$A$1:$F$18,ROW(),0)</f>
        <v>45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0.25" customHeight="1" x14ac:dyDescent="0.3">
      <c r="A4" s="3">
        <v>1003</v>
      </c>
      <c r="B4" s="3" t="s">
        <v>12</v>
      </c>
      <c r="C4" s="3">
        <v>45</v>
      </c>
      <c r="D4" s="3" t="s">
        <v>10</v>
      </c>
      <c r="E4" s="3" t="s">
        <v>13</v>
      </c>
      <c r="F4" s="3">
        <v>100741</v>
      </c>
      <c r="G4" s="4"/>
      <c r="H4" s="5">
        <v>4</v>
      </c>
      <c r="I4" s="1" t="s">
        <v>3</v>
      </c>
      <c r="J4" s="6" t="str">
        <f t="shared" si="0"/>
        <v>Male</v>
      </c>
      <c r="K4" s="7" t="str">
        <f t="shared" si="1"/>
        <v>Male</v>
      </c>
      <c r="L4" s="4">
        <v>4</v>
      </c>
      <c r="M4" s="14" t="s">
        <v>3</v>
      </c>
      <c r="N4" s="17" t="str">
        <f t="shared" si="2"/>
        <v>Female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0.25" customHeight="1" x14ac:dyDescent="0.3">
      <c r="A5" s="3">
        <v>1004</v>
      </c>
      <c r="B5" s="3" t="s">
        <v>14</v>
      </c>
      <c r="C5" s="3">
        <v>59</v>
      </c>
      <c r="D5" s="3" t="s">
        <v>7</v>
      </c>
      <c r="E5" s="3" t="s">
        <v>8</v>
      </c>
      <c r="F5" s="3">
        <v>84784</v>
      </c>
      <c r="G5" s="4"/>
      <c r="H5" s="5">
        <v>5</v>
      </c>
      <c r="I5" s="1" t="s">
        <v>4</v>
      </c>
      <c r="J5" s="6" t="str">
        <f t="shared" si="0"/>
        <v>Sales</v>
      </c>
      <c r="K5" s="7" t="str">
        <f t="shared" si="1"/>
        <v>Sales</v>
      </c>
      <c r="L5" s="4">
        <v>5</v>
      </c>
      <c r="M5" s="14" t="s">
        <v>4</v>
      </c>
      <c r="N5" s="17" t="str">
        <f t="shared" si="2"/>
        <v>Operations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.25" customHeight="1" x14ac:dyDescent="0.3">
      <c r="A6" s="3">
        <v>1005</v>
      </c>
      <c r="B6" s="3" t="s">
        <v>15</v>
      </c>
      <c r="C6" s="3">
        <v>59</v>
      </c>
      <c r="D6" s="3" t="s">
        <v>7</v>
      </c>
      <c r="E6" s="3" t="s">
        <v>16</v>
      </c>
      <c r="F6" s="3">
        <v>184551</v>
      </c>
      <c r="G6" s="4"/>
      <c r="H6" s="5">
        <v>6</v>
      </c>
      <c r="I6" s="1" t="s">
        <v>5</v>
      </c>
      <c r="J6" s="6">
        <f t="shared" si="0"/>
        <v>84784</v>
      </c>
      <c r="K6" s="7">
        <f t="shared" si="1"/>
        <v>84784</v>
      </c>
      <c r="L6" s="4">
        <v>6</v>
      </c>
      <c r="M6" s="14" t="s">
        <v>5</v>
      </c>
      <c r="N6" s="17">
        <f t="shared" si="2"/>
        <v>100741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0.25" customHeight="1" x14ac:dyDescent="0.3">
      <c r="A7" s="3">
        <v>1006</v>
      </c>
      <c r="B7" s="3" t="s">
        <v>17</v>
      </c>
      <c r="C7" s="3">
        <v>48</v>
      </c>
      <c r="D7" s="3" t="s">
        <v>7</v>
      </c>
      <c r="E7" s="3" t="s">
        <v>18</v>
      </c>
      <c r="F7" s="3">
        <v>127313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0.25" customHeight="1" x14ac:dyDescent="0.3">
      <c r="A8" s="3">
        <v>1007</v>
      </c>
      <c r="B8" s="3" t="s">
        <v>19</v>
      </c>
      <c r="C8" s="3">
        <v>53</v>
      </c>
      <c r="D8" s="3" t="s">
        <v>10</v>
      </c>
      <c r="E8" s="3" t="s">
        <v>13</v>
      </c>
      <c r="F8" s="3">
        <v>31809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0.25" customHeight="1" x14ac:dyDescent="0.3">
      <c r="A9" s="3">
        <v>1008</v>
      </c>
      <c r="B9" s="3" t="s">
        <v>20</v>
      </c>
      <c r="C9" s="3">
        <v>59</v>
      </c>
      <c r="D9" s="3" t="s">
        <v>10</v>
      </c>
      <c r="E9" s="3" t="s">
        <v>21</v>
      </c>
      <c r="F9" s="3">
        <v>39769</v>
      </c>
      <c r="G9" s="4"/>
      <c r="H9" s="4"/>
      <c r="I9" s="10" t="s">
        <v>0</v>
      </c>
      <c r="J9" s="11">
        <v>1006</v>
      </c>
      <c r="K9" s="9"/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0.25" customHeight="1" x14ac:dyDescent="0.3">
      <c r="A10" s="3">
        <v>1009</v>
      </c>
      <c r="B10" s="3" t="s">
        <v>22</v>
      </c>
      <c r="C10" s="3">
        <v>26</v>
      </c>
      <c r="D10" s="3" t="s">
        <v>10</v>
      </c>
      <c r="E10" s="3" t="s">
        <v>11</v>
      </c>
      <c r="F10" s="3">
        <v>75792</v>
      </c>
      <c r="G10" s="4"/>
      <c r="H10" s="4"/>
      <c r="I10" s="10" t="s">
        <v>1</v>
      </c>
      <c r="J10" s="12" t="str">
        <f t="shared" ref="J10:J14" si="3">VLOOKUP($J$9,A:F,ROW()-8,0)</f>
        <v>Kuntal Patra</v>
      </c>
      <c r="K10" s="9"/>
      <c r="L10" s="9">
        <f>ROW()</f>
        <v>10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0.25" customHeight="1" x14ac:dyDescent="0.3">
      <c r="A11" s="3">
        <v>1010</v>
      </c>
      <c r="B11" s="3" t="s">
        <v>23</v>
      </c>
      <c r="C11" s="3">
        <v>58</v>
      </c>
      <c r="D11" s="3" t="s">
        <v>7</v>
      </c>
      <c r="E11" s="3" t="s">
        <v>8</v>
      </c>
      <c r="F11" s="3">
        <v>148988</v>
      </c>
      <c r="G11" s="4"/>
      <c r="H11" s="4"/>
      <c r="I11" s="10" t="s">
        <v>2</v>
      </c>
      <c r="J11" s="12">
        <f t="shared" si="3"/>
        <v>48</v>
      </c>
      <c r="K11" s="13" t="s">
        <v>36</v>
      </c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0.25" customHeight="1" x14ac:dyDescent="0.3">
      <c r="A12" s="3">
        <v>1011</v>
      </c>
      <c r="B12" s="3" t="s">
        <v>24</v>
      </c>
      <c r="C12" s="3">
        <v>44</v>
      </c>
      <c r="D12" s="3" t="s">
        <v>10</v>
      </c>
      <c r="E12" s="3" t="s">
        <v>8</v>
      </c>
      <c r="F12" s="3">
        <v>98803</v>
      </c>
      <c r="G12" s="4"/>
      <c r="H12" s="4"/>
      <c r="I12" s="10" t="s">
        <v>3</v>
      </c>
      <c r="J12" s="12" t="str">
        <f t="shared" si="3"/>
        <v>Male</v>
      </c>
      <c r="K12" s="9"/>
      <c r="L12" s="9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0.25" customHeight="1" x14ac:dyDescent="0.3">
      <c r="A13" s="3">
        <v>1012</v>
      </c>
      <c r="B13" s="3" t="s">
        <v>25</v>
      </c>
      <c r="C13" s="3">
        <v>39</v>
      </c>
      <c r="D13" s="3" t="s">
        <v>10</v>
      </c>
      <c r="E13" s="3" t="s">
        <v>16</v>
      </c>
      <c r="F13" s="3">
        <v>172266</v>
      </c>
      <c r="G13" s="4"/>
      <c r="H13" s="4"/>
      <c r="I13" s="10" t="s">
        <v>4</v>
      </c>
      <c r="J13" s="12" t="str">
        <f t="shared" si="3"/>
        <v>Data Scientist</v>
      </c>
      <c r="K13" s="9"/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0.25" customHeight="1" x14ac:dyDescent="0.3">
      <c r="A14" s="3">
        <v>1013</v>
      </c>
      <c r="B14" s="3" t="s">
        <v>26</v>
      </c>
      <c r="C14" s="3">
        <v>54</v>
      </c>
      <c r="D14" s="3" t="s">
        <v>7</v>
      </c>
      <c r="E14" s="3" t="s">
        <v>27</v>
      </c>
      <c r="F14" s="3">
        <v>136087</v>
      </c>
      <c r="G14" s="4"/>
      <c r="H14" s="4"/>
      <c r="I14" s="10" t="s">
        <v>5</v>
      </c>
      <c r="J14" s="12">
        <f t="shared" si="3"/>
        <v>127313</v>
      </c>
      <c r="K14" s="9"/>
      <c r="L14" s="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0.25" customHeight="1" x14ac:dyDescent="0.3">
      <c r="A15" s="3">
        <v>1014</v>
      </c>
      <c r="B15" s="3" t="s">
        <v>28</v>
      </c>
      <c r="C15" s="3">
        <v>34</v>
      </c>
      <c r="D15" s="3" t="s">
        <v>10</v>
      </c>
      <c r="E15" s="3" t="s">
        <v>11</v>
      </c>
      <c r="F15" s="3">
        <v>30479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0.25" customHeight="1" x14ac:dyDescent="0.3">
      <c r="A16" s="3">
        <v>1015</v>
      </c>
      <c r="B16" s="3" t="s">
        <v>29</v>
      </c>
      <c r="C16" s="3">
        <v>47</v>
      </c>
      <c r="D16" s="3" t="s">
        <v>10</v>
      </c>
      <c r="E16" s="3" t="s">
        <v>8</v>
      </c>
      <c r="F16" s="3">
        <v>150145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0.25" customHeight="1" x14ac:dyDescent="0.3">
      <c r="A17" s="3">
        <v>1016</v>
      </c>
      <c r="B17" s="3" t="s">
        <v>30</v>
      </c>
      <c r="C17" s="3">
        <v>35</v>
      </c>
      <c r="D17" s="3" t="s">
        <v>10</v>
      </c>
      <c r="E17" s="3" t="s">
        <v>31</v>
      </c>
      <c r="F17" s="3">
        <v>158214</v>
      </c>
      <c r="G17" s="4"/>
      <c r="H17" s="4"/>
      <c r="I17" s="1" t="s">
        <v>0</v>
      </c>
      <c r="J17" s="6">
        <v>1010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0.25" customHeight="1" x14ac:dyDescent="0.3">
      <c r="A18" s="3">
        <v>1017</v>
      </c>
      <c r="B18" s="3" t="s">
        <v>32</v>
      </c>
      <c r="C18" s="3">
        <v>27</v>
      </c>
      <c r="D18" s="3" t="s">
        <v>10</v>
      </c>
      <c r="E18" s="3" t="s">
        <v>33</v>
      </c>
      <c r="F18" s="3">
        <v>121734</v>
      </c>
      <c r="G18" s="4"/>
      <c r="H18" s="4"/>
      <c r="I18" s="1" t="s">
        <v>1</v>
      </c>
      <c r="J18" s="6" t="str">
        <f t="shared" ref="J18:J22" si="4">VLOOKUP($J$17,$A$1:$F$18,ROW()-16,0)</f>
        <v>Adhir Samal</v>
      </c>
      <c r="K18" s="4">
        <f>ROW()</f>
        <v>18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3">
      <c r="I19" s="1" t="s">
        <v>2</v>
      </c>
      <c r="J19" s="6">
        <f t="shared" si="4"/>
        <v>58</v>
      </c>
    </row>
    <row r="20" spans="1:26" ht="14.25" customHeight="1" x14ac:dyDescent="0.3">
      <c r="I20" s="1" t="s">
        <v>3</v>
      </c>
      <c r="J20" s="6" t="str">
        <f t="shared" si="4"/>
        <v>Male</v>
      </c>
    </row>
    <row r="21" spans="1:26" ht="14.25" customHeight="1" x14ac:dyDescent="0.3">
      <c r="B21" s="8" t="s">
        <v>35</v>
      </c>
      <c r="I21" s="1" t="s">
        <v>4</v>
      </c>
      <c r="J21" s="6" t="str">
        <f t="shared" si="4"/>
        <v>Sales</v>
      </c>
    </row>
    <row r="22" spans="1:26" ht="14.25" customHeight="1" x14ac:dyDescent="0.3">
      <c r="I22" s="1" t="s">
        <v>5</v>
      </c>
      <c r="J22" s="6">
        <f t="shared" si="4"/>
        <v>148988</v>
      </c>
    </row>
    <row r="23" spans="1:26" ht="14.25" customHeight="1" x14ac:dyDescent="0.3"/>
    <row r="24" spans="1:26" ht="14.25" customHeight="1" x14ac:dyDescent="0.3"/>
    <row r="25" spans="1:26" ht="14.25" customHeight="1" x14ac:dyDescent="0.3"/>
    <row r="26" spans="1:26" ht="14.25" customHeight="1" x14ac:dyDescent="0.3"/>
    <row r="27" spans="1:26" ht="14.25" customHeight="1" x14ac:dyDescent="0.3"/>
    <row r="28" spans="1:26" ht="14.25" customHeight="1" x14ac:dyDescent="0.3"/>
    <row r="29" spans="1:26" ht="14.25" customHeight="1" x14ac:dyDescent="0.3"/>
    <row r="30" spans="1:26" ht="14.25" customHeight="1" x14ac:dyDescent="0.3"/>
    <row r="31" spans="1:26" ht="14.25" customHeight="1" x14ac:dyDescent="0.3"/>
    <row r="32" spans="1:2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1">
    <dataValidation type="list" allowBlank="1" showInputMessage="1" showErrorMessage="1" sqref="N1" xr:uid="{EC81A4B9-D2BF-487D-A436-C6024008D710}">
      <formula1>$A$2:$A$18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Sameer Hawal</cp:lastModifiedBy>
  <dcterms:created xsi:type="dcterms:W3CDTF">2023-08-21T14:30:52Z</dcterms:created>
  <dcterms:modified xsi:type="dcterms:W3CDTF">2026-03-19T05:20:48Z</dcterms:modified>
</cp:coreProperties>
</file>