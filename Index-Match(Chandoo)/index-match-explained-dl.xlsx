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dex-Match(Chandoo)\"/>
    </mc:Choice>
  </mc:AlternateContent>
  <xr:revisionPtr revIDLastSave="0" documentId="13_ncr:1_{AB70E218-1425-44DF-846B-73D1246E09ED}" xr6:coauthVersionLast="47" xr6:coauthVersionMax="47" xr10:uidLastSave="{00000000-0000-0000-0000-000000000000}"/>
  <bookViews>
    <workbookView xWindow="-108" yWindow="-108" windowWidth="23256" windowHeight="13176" activeTab="1" xr2:uid="{26D4546B-D2A1-4444-8EAF-A6228F96F0C1}"/>
  </bookViews>
  <sheets>
    <sheet name="INDEX MATCH" sheetId="1" r:id="rId1"/>
    <sheet name="With Table Data" sheetId="3" r:id="rId2"/>
    <sheet name="MORE!!!" sheetId="4" r:id="rId3"/>
  </sheets>
  <definedNames>
    <definedName name="_xlnm._FilterDatabase" localSheetId="0" hidden="1">'INDEX MATCH'!$L$56:$M$72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6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K20" i="3"/>
  <c r="K19" i="3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5" i="1" a="1"/>
  <c r="I5" i="1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L14" i="1"/>
  <c r="L9" i="1"/>
  <c r="L10" i="1" s="1" a="1"/>
  <c r="L10" i="1" s="1"/>
  <c r="L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<sst xmlns="http://schemas.openxmlformats.org/spreadsheetml/2006/main" count="219" uniqueCount="66">
  <si>
    <t>INDEX+MATCH</t>
  </si>
  <si>
    <t>Name</t>
  </si>
  <si>
    <t>Gender</t>
  </si>
  <si>
    <t>Department</t>
  </si>
  <si>
    <t>Date Joined</t>
  </si>
  <si>
    <t>Salary</t>
  </si>
  <si>
    <t>Barr Faughny</t>
  </si>
  <si>
    <t>Female</t>
  </si>
  <si>
    <t>Procurement</t>
  </si>
  <si>
    <t>Dennison Crosswaite</t>
  </si>
  <si>
    <t>Male</t>
  </si>
  <si>
    <t>Website</t>
  </si>
  <si>
    <t>Gunar Cockshoot</t>
  </si>
  <si>
    <t>Gigi Bohling</t>
  </si>
  <si>
    <t>Sales</t>
  </si>
  <si>
    <t>Curtice Advani</t>
  </si>
  <si>
    <t>Finance</t>
  </si>
  <si>
    <t>Kaine Padly</t>
  </si>
  <si>
    <t>Ches Bonnell</t>
  </si>
  <si>
    <t>Andria Kimpton</t>
  </si>
  <si>
    <t>Brien Boise</t>
  </si>
  <si>
    <t>Husein Augar</t>
  </si>
  <si>
    <t>Jan Morforth</t>
  </si>
  <si>
    <t>Dotty Strutley</t>
  </si>
  <si>
    <t>Marney O'Breen</t>
  </si>
  <si>
    <t>Rafaelita Blaksland</t>
  </si>
  <si>
    <t>Beverie Moffet</t>
  </si>
  <si>
    <t>Oby Sorrel</t>
  </si>
  <si>
    <t>Bonus %</t>
  </si>
  <si>
    <t>Bonus Details</t>
  </si>
  <si>
    <t>Date Joined:</t>
  </si>
  <si>
    <t>Name:</t>
  </si>
  <si>
    <t>MATCH Result</t>
  </si>
  <si>
    <t>INDEX Result</t>
  </si>
  <si>
    <t>Salary:</t>
  </si>
  <si>
    <t>Names &amp; Emails</t>
  </si>
  <si>
    <t>b.faughny@awesome.ch</t>
  </si>
  <si>
    <t>d.crosswaite@awesome.ch</t>
  </si>
  <si>
    <t>g.cockshoot@awesome.ch</t>
  </si>
  <si>
    <t>c.advani@awesome.ch</t>
  </si>
  <si>
    <t>h.augar@awesome.ch</t>
  </si>
  <si>
    <t>j.morforth@awesome.ch</t>
  </si>
  <si>
    <t>d.strutley@awesome.ch</t>
  </si>
  <si>
    <t>r.blaksland@awesome.ch</t>
  </si>
  <si>
    <t>b.moffet@awesome.ch</t>
  </si>
  <si>
    <t>o.sorrel@awesome.ch</t>
  </si>
  <si>
    <t>m.obreen@awesome.ch</t>
  </si>
  <si>
    <t>Email ID</t>
  </si>
  <si>
    <t>Alternative</t>
  </si>
  <si>
    <t>Bonus 1</t>
  </si>
  <si>
    <t>Bonus 2</t>
  </si>
  <si>
    <t>Bonus 1%</t>
  </si>
  <si>
    <t>Bonus 2%</t>
  </si>
  <si>
    <t>Videos</t>
  </si>
  <si>
    <t>Articles</t>
  </si>
  <si>
    <t>VLOOKUP, INDEX &amp; MATCH - Intro video</t>
  </si>
  <si>
    <t>5 Advanced VLOOKUP tricks</t>
  </si>
  <si>
    <t>INDEX+MATCH alternative - XLOOKUP</t>
  </si>
  <si>
    <t xml:space="preserve">VLOOKUP, INDEX &amp; MATCH </t>
  </si>
  <si>
    <t>XLOOKUP with 13 examples</t>
  </si>
  <si>
    <t>INDEX() - the most important Excel function</t>
  </si>
  <si>
    <t>Lookups for Data Analysis</t>
  </si>
  <si>
    <t>The Vlookup Book</t>
  </si>
  <si>
    <t>Courses &amp; Books</t>
  </si>
  <si>
    <t>👈 click</t>
  </si>
  <si>
    <t>index match can be used in 2d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</si>
</sst>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/>
    <xf numFmtId="0" fontId="3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3" fillId="3" borderId="1" xfId="2" applyFont="1" applyFill="1" applyBorder="1" applyAlignment="1">
      <alignment horizontal="center"/>
    </xf>
    <xf numFmtId="9" fontId="0" fillId="0" borderId="2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15" fontId="0" fillId="0" borderId="0" xfId="0" applyNumberFormat="1" applyAlignment="1">
      <alignment horizontal="center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0" fillId="3" borderId="3" xfId="0" applyFill="1" applyBorder="1" applyAlignment="1">
      <alignment horizontal="left"/>
    </xf>
    <xf numFmtId="15" fontId="0" fillId="3" borderId="3" xfId="0" applyNumberFormat="1" applyFill="1" applyBorder="1" applyAlignment="1">
      <alignment horizontal="left"/>
    </xf>
    <xf numFmtId="6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9" fontId="0" fillId="0" borderId="0" xfId="2" applyFont="1"/>
    <xf numFmtId="0" fontId="3" fillId="3" borderId="1" xfId="0" applyFont="1" applyFill="1" applyBorder="1" applyAlignment="1">
      <alignment horizontal="left"/>
    </xf>
    <xf numFmtId="0" fontId="4" fillId="0" borderId="4" xfId="0" applyFont="1" applyBorder="1"/>
    <xf numFmtId="9" fontId="0" fillId="0" borderId="2" xfId="2" applyFont="1" applyBorder="1"/>
    <xf numFmtId="9" fontId="0" fillId="0" borderId="3" xfId="2" applyFont="1" applyBorder="1"/>
    <xf numFmtId="0" fontId="3" fillId="4" borderId="1" xfId="0" applyFont="1" applyFill="1" applyBorder="1"/>
    <xf numFmtId="9" fontId="3" fillId="4" borderId="1" xfId="2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5" fillId="0" borderId="0" xfId="3"/>
    <xf numFmtId="0" fontId="3" fillId="4" borderId="0" xfId="0" applyFont="1" applyFill="1"/>
    <xf numFmtId="0" fontId="6" fillId="0" borderId="0" xfId="0" applyFont="1" applyAlignment="1">
      <alignment horizontal="left"/>
    </xf>
    <xf numFmtId="0" fontId="0" fillId="0" borderId="0" xfId="0"/>
    <xf numFmtId="0" fontId="3" fillId="3" borderId="0" xfId="0" applyFont="1" applyFill="1" applyAlignment="1">
      <alignment horizontal="center"/>
    </xf>
    <xf numFmtId="0" fontId="0" fillId="5" borderId="0" xfId="0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">
    <dxf>
      <numFmt numFmtId="166" formatCode="_(&quot;$&quot;* #,##0_);_(&quot;$&quot;* \(#,##0\);_(&quot;$&quot;* &quot;-&quot;??_);_(@_)"/>
    </dxf>
    <dxf>
      <numFmt numFmtId="20" formatCode="d\-mmm\-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152482</xdr:rowOff>
    </xdr:from>
    <xdr:to>
      <xdr:col>13</xdr:col>
      <xdr:colOff>794819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152482</xdr:rowOff>
    </xdr:from>
    <xdr:to>
      <xdr:col>12</xdr:col>
      <xdr:colOff>637164</xdr:colOff>
      <xdr:row>2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282FB-A8C2-40DC-A891-73613B038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271845" y="152482"/>
          <a:ext cx="2318819" cy="708052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0086E-F672-4F1C-BAE5-DF69B5BAAFAB}" name="staff" displayName="staff" ref="C4:I20" totalsRowShown="0">
  <tableColumns count="7">
    <tableColumn id="1" xr3:uid="{E9AD2A35-5B8E-4C10-A658-B5F5E0323660}" name="Name"/>
    <tableColumn id="2" xr3:uid="{BE1E52E1-571B-4808-B941-8F2681B2A6CB}" name="Gender"/>
    <tableColumn id="3" xr3:uid="{CED8DA2E-AFB4-4DE1-9D80-273ED48B742F}" name="Department"/>
    <tableColumn id="4" xr3:uid="{54423B9C-2A8B-40E2-8596-E4D8B5B21124}" name="Date Joined" dataDxfId="1"/>
    <tableColumn id="5" xr3:uid="{AAC6AE02-545B-4BED-826B-F6869A383115}" name="Salary" dataDxfId="0" dataCellStyle="Currency"/>
    <tableColumn id="6" xr3:uid="{D27E5A53-67A2-4D85-8C3B-61389582CA71}" name="Bonus 1" dataCellStyle="Percent">
      <calculatedColumnFormula>INDEX($K$5:$K$8,MATCH(staff[[#This Row],[Department]],$L$5:$L$8,0))</calculatedColumnFormula>
    </tableColumn>
    <tableColumn id="7" xr3:uid="{FF1E93C7-519E-4CFD-B579-6C4152DA9CBC}" name="Bonus 2" dataCellStyle="Percent">
      <calculatedColumnFormula>INDEX($L$14:$M$17,MATCH(staff[[#This Row],[Department]],$K$14:$K$17,0),
MATCH(staff[[#This Row],[Gender]],$L$13:$M$13,0))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.moffet@awesome.ch" TargetMode="External"/><Relationship Id="rId2" Type="http://schemas.openxmlformats.org/officeDocument/2006/relationships/hyperlink" Target="mailto:o.sorrel@awesome.ch" TargetMode="External"/><Relationship Id="rId1" Type="http://schemas.openxmlformats.org/officeDocument/2006/relationships/hyperlink" Target="mailto:g.cockshoot@awesome.c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8rtvDQVQaA0" TargetMode="External"/><Relationship Id="rId3" Type="http://schemas.openxmlformats.org/officeDocument/2006/relationships/hyperlink" Target="https://chandoo.org/wp/index-formula-usage-and-tips/" TargetMode="External"/><Relationship Id="rId7" Type="http://schemas.openxmlformats.org/officeDocument/2006/relationships/hyperlink" Target="https://youtu.be/gpwqUc3y7ZA" TargetMode="External"/><Relationship Id="rId2" Type="http://schemas.openxmlformats.org/officeDocument/2006/relationships/hyperlink" Target="https://chandoo.org/wp/xlookup-examples/" TargetMode="External"/><Relationship Id="rId1" Type="http://schemas.openxmlformats.org/officeDocument/2006/relationships/hyperlink" Target="https://chandoo.org/wp/vlookup-match-and-offset-explained-in-plain-english-spreadcheats/" TargetMode="External"/><Relationship Id="rId6" Type="http://schemas.openxmlformats.org/officeDocument/2006/relationships/hyperlink" Target="https://youtu.be/240fbiyFFKI" TargetMode="External"/><Relationship Id="rId5" Type="http://schemas.openxmlformats.org/officeDocument/2006/relationships/hyperlink" Target="https://chandoo.org/wp/resources/get-vlookup-book/" TargetMode="External"/><Relationship Id="rId4" Type="http://schemas.openxmlformats.org/officeDocument/2006/relationships/hyperlink" Target="https://chandoo.org/wp/lookups-for-data-analys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Y26"/>
  <sheetViews>
    <sheetView showGridLines="0" zoomScale="85" zoomScaleNormal="85" workbookViewId="0">
      <selection activeCell="H5" sqref="H5"/>
    </sheetView>
  </sheetViews>
  <sheetFormatPr defaultRowHeight="14.4" x14ac:dyDescent="0.3"/>
  <cols>
    <col min="1" max="1" width="1.6640625" customWidth="1"/>
    <col min="2" max="2" width="3.6640625" customWidth="1"/>
    <col min="3" max="3" width="21" customWidth="1"/>
    <col min="5" max="5" width="13.33203125" customWidth="1"/>
    <col min="6" max="6" width="16.33203125" customWidth="1"/>
    <col min="7" max="7" width="10.33203125" customWidth="1"/>
    <col min="8" max="8" width="13.88671875" customWidth="1"/>
    <col min="9" max="9" width="25.6640625" bestFit="1" customWidth="1"/>
    <col min="10" max="10" width="17.6640625" customWidth="1"/>
    <col min="11" max="11" width="12.5546875" bestFit="1" customWidth="1"/>
    <col min="12" max="12" width="14.44140625" customWidth="1"/>
    <col min="13" max="13" width="8.44140625" bestFit="1" customWidth="1"/>
    <col min="14" max="14" width="24.44140625" bestFit="1" customWidth="1"/>
    <col min="16" max="16" width="12.44140625" customWidth="1"/>
    <col min="17" max="17" width="8.44140625" bestFit="1" customWidth="1"/>
    <col min="18" max="18" width="11.77734375" bestFit="1" customWidth="1"/>
    <col min="23" max="23" width="12.5546875" bestFit="1" customWidth="1"/>
  </cols>
  <sheetData>
    <row r="1" spans="1:25" s="2" customFormat="1" ht="52.5" customHeight="1" x14ac:dyDescent="0.3">
      <c r="A1" s="1"/>
      <c r="C1" s="3" t="s">
        <v>0</v>
      </c>
    </row>
    <row r="3" spans="1:25" x14ac:dyDescent="0.3">
      <c r="X3" s="37"/>
      <c r="Y3" s="37"/>
    </row>
    <row r="4" spans="1:25" x14ac:dyDescent="0.3">
      <c r="C4" s="4" t="s">
        <v>1</v>
      </c>
      <c r="D4" s="4" t="s">
        <v>2</v>
      </c>
      <c r="E4" s="4" t="s">
        <v>3</v>
      </c>
      <c r="F4" s="5" t="s">
        <v>4</v>
      </c>
      <c r="G4" s="5" t="s">
        <v>5</v>
      </c>
      <c r="H4" s="12" t="s">
        <v>28</v>
      </c>
      <c r="I4" s="12" t="s">
        <v>47</v>
      </c>
      <c r="K4" s="9" t="s">
        <v>30</v>
      </c>
      <c r="L4" s="21">
        <v>43424</v>
      </c>
      <c r="N4" s="25" t="s">
        <v>35</v>
      </c>
      <c r="Q4" s="4" t="s">
        <v>3</v>
      </c>
      <c r="R4" s="14" t="s">
        <v>7</v>
      </c>
      <c r="T4" s="29" t="s">
        <v>3</v>
      </c>
      <c r="U4" s="30" t="s">
        <v>2</v>
      </c>
      <c r="V4" s="30" t="s">
        <v>28</v>
      </c>
    </row>
    <row r="5" spans="1:25" x14ac:dyDescent="0.3">
      <c r="C5" s="6" t="s">
        <v>6</v>
      </c>
      <c r="D5" s="6" t="s">
        <v>7</v>
      </c>
      <c r="E5" s="6" t="s">
        <v>8</v>
      </c>
      <c r="F5" s="7">
        <v>43744</v>
      </c>
      <c r="G5" s="8">
        <v>75000</v>
      </c>
      <c r="H5" s="27">
        <f t="array" ref="H5">INDEX($V$5:$V$12,MATCH(1,($T$5:$T$12=E5)*($U$5:$U$12=D5),0))</f>
        <v>0.05</v>
      </c>
      <c r="I5" s="6" t="str" cm="1">
        <f t="array" ref="I5">IFERROR(INDEX($N$5:$N$26,MATCH(C5,$N$5:$N$26,0)+1),"No email ID")</f>
        <v>b.faughny@awesome.ch</v>
      </c>
      <c r="K5" s="9" t="s">
        <v>31</v>
      </c>
      <c r="L5" s="20" t="str">
        <f>INDEX(C5:C20,MATCH(L4,F5:F20,0))</f>
        <v>Kaine Padly</v>
      </c>
      <c r="N5" t="s">
        <v>22</v>
      </c>
      <c r="Q5" s="6" t="s">
        <v>16</v>
      </c>
      <c r="R5" s="15">
        <v>0.04</v>
      </c>
      <c r="T5" s="9" t="s">
        <v>16</v>
      </c>
      <c r="U5" s="13" t="s">
        <v>7</v>
      </c>
      <c r="V5" s="16">
        <v>0.04</v>
      </c>
    </row>
    <row r="6" spans="1:25" x14ac:dyDescent="0.3">
      <c r="C6" s="9" t="s">
        <v>9</v>
      </c>
      <c r="D6" s="9" t="s">
        <v>10</v>
      </c>
      <c r="E6" s="9" t="s">
        <v>11</v>
      </c>
      <c r="F6" s="10">
        <v>43601</v>
      </c>
      <c r="G6" s="11">
        <v>90700</v>
      </c>
      <c r="H6" s="28">
        <f t="array" ref="H6">INDEX($V$5:$V$12,MATCH(1,($T$5:$T$12=E6)*($U$5:$U$12=D6),0))</f>
        <v>0.05</v>
      </c>
      <c r="I6" s="9" t="str" cm="1">
        <f t="array" ref="I6">IFERROR(INDEX($N$5:$N$26,MATCH(C6,$N$5:$N$26,0)+1),"No email ID")</f>
        <v>d.crosswaite@awesome.ch</v>
      </c>
      <c r="K6" s="9" t="s">
        <v>48</v>
      </c>
      <c r="L6" s="23" t="str">
        <f>_xlfn.XLOOKUP(L4,F5:F20,C5:C20)</f>
        <v>Kaine Padly</v>
      </c>
      <c r="N6" s="26" t="s">
        <v>41</v>
      </c>
      <c r="Q6" s="9" t="s">
        <v>8</v>
      </c>
      <c r="R6" s="16">
        <v>0.05</v>
      </c>
      <c r="T6" s="9" t="s">
        <v>8</v>
      </c>
      <c r="U6" s="13" t="s">
        <v>7</v>
      </c>
      <c r="V6" s="16">
        <v>0.05</v>
      </c>
    </row>
    <row r="7" spans="1:25" x14ac:dyDescent="0.3">
      <c r="C7" s="9" t="s">
        <v>12</v>
      </c>
      <c r="D7" s="9" t="s">
        <v>10</v>
      </c>
      <c r="E7" s="9" t="s">
        <v>11</v>
      </c>
      <c r="F7" s="10">
        <v>43476</v>
      </c>
      <c r="G7" s="11">
        <v>48950</v>
      </c>
      <c r="H7" s="28">
        <f t="array" ref="H7">INDEX($V$5:$V$12,MATCH(1,($T$5:$T$12=E7)*($U$5:$U$12=D7),0))</f>
        <v>0.05</v>
      </c>
      <c r="I7" s="9" t="str" cm="1">
        <f t="array" ref="I7">IFERROR(INDEX($N$5:$N$26,MATCH(C7,$N$5:$N$26,0)+1),"No email ID")</f>
        <v>g.cockshoot@awesome.ch</v>
      </c>
      <c r="L7" s="39" t="str">
        <f>INDEX(C5:C20,MATCH(L4,F5:F20,0))</f>
        <v>Kaine Padly</v>
      </c>
      <c r="N7" t="s">
        <v>9</v>
      </c>
      <c r="Q7" s="9" t="s">
        <v>14</v>
      </c>
      <c r="R7" s="16">
        <v>0.03</v>
      </c>
      <c r="T7" s="9" t="s">
        <v>14</v>
      </c>
      <c r="U7" s="13" t="s">
        <v>7</v>
      </c>
      <c r="V7" s="16">
        <v>0.03</v>
      </c>
    </row>
    <row r="8" spans="1:25" x14ac:dyDescent="0.3">
      <c r="C8" s="9" t="s">
        <v>13</v>
      </c>
      <c r="D8" s="9" t="s">
        <v>10</v>
      </c>
      <c r="E8" s="9" t="s">
        <v>14</v>
      </c>
      <c r="F8" s="10">
        <v>43351</v>
      </c>
      <c r="G8" s="11">
        <v>74550</v>
      </c>
      <c r="H8" s="28">
        <f t="array" ref="H8">INDEX($V$5:$V$12,MATCH(1,($T$5:$T$12=E8)*($U$5:$U$12=D8),0))</f>
        <v>0.04</v>
      </c>
      <c r="I8" s="9" t="str" cm="1">
        <f t="array" ref="I8">IFERROR(INDEX($N$5:$N$26,MATCH(C8,$N$5:$N$26,0)+1),"No email ID")</f>
        <v>No email ID</v>
      </c>
      <c r="N8" s="26" t="s">
        <v>37</v>
      </c>
      <c r="Q8" s="9" t="s">
        <v>11</v>
      </c>
      <c r="R8" s="16">
        <v>0.06</v>
      </c>
      <c r="T8" s="9" t="s">
        <v>11</v>
      </c>
      <c r="U8" s="13" t="s">
        <v>7</v>
      </c>
      <c r="V8" s="16">
        <v>0.06</v>
      </c>
    </row>
    <row r="9" spans="1:25" x14ac:dyDescent="0.3">
      <c r="C9" s="9" t="s">
        <v>15</v>
      </c>
      <c r="D9" s="9" t="s">
        <v>10</v>
      </c>
      <c r="E9" s="9" t="s">
        <v>16</v>
      </c>
      <c r="F9" s="10">
        <v>43560</v>
      </c>
      <c r="G9" s="11">
        <v>59810</v>
      </c>
      <c r="H9" s="28">
        <f t="array" ref="H9">INDEX($V$5:$V$12,MATCH(1,($T$5:$T$12=E9)*($U$5:$U$12=D9),0))</f>
        <v>0.03</v>
      </c>
      <c r="I9" s="9" t="str" cm="1">
        <f t="array" ref="I9">IFERROR(INDEX($N$5:$N$26,MATCH(C9,$N$5:$N$26,0)+1),"No email ID")</f>
        <v>c.advani@awesome.ch</v>
      </c>
      <c r="K9" s="9" t="s">
        <v>32</v>
      </c>
      <c r="L9" s="31">
        <f>MATCH(L4,F5:F20,0)</f>
        <v>6</v>
      </c>
      <c r="N9" t="s">
        <v>6</v>
      </c>
      <c r="T9" s="9" t="s">
        <v>16</v>
      </c>
      <c r="U9" s="13" t="s">
        <v>10</v>
      </c>
      <c r="V9" s="16">
        <v>0.03</v>
      </c>
    </row>
    <row r="10" spans="1:25" x14ac:dyDescent="0.3">
      <c r="C10" s="9" t="s">
        <v>17</v>
      </c>
      <c r="D10" s="9" t="s">
        <v>10</v>
      </c>
      <c r="E10" s="9" t="s">
        <v>11</v>
      </c>
      <c r="F10" s="10">
        <v>43424</v>
      </c>
      <c r="G10" s="11">
        <v>107700</v>
      </c>
      <c r="H10" s="28">
        <f t="array" ref="H10">INDEX($V$5:$V$12,MATCH(1,($T$5:$T$12=E10)*($U$5:$U$12=D10),0))</f>
        <v>0.05</v>
      </c>
      <c r="I10" s="9" t="str" cm="1">
        <f t="array" ref="I10">IFERROR(INDEX($N$5:$N$26,MATCH(C10,$N$5:$N$26,0)+1),"No email ID")</f>
        <v>No email ID</v>
      </c>
      <c r="K10" s="9" t="s">
        <v>33</v>
      </c>
      <c r="L10" s="31" t="str" cm="1">
        <f t="array" ref="L10">INDEX(C5:C20,L9)</f>
        <v>Kaine Padly</v>
      </c>
      <c r="N10" s="26" t="s">
        <v>36</v>
      </c>
      <c r="T10" s="9" t="s">
        <v>8</v>
      </c>
      <c r="U10" s="13" t="s">
        <v>10</v>
      </c>
      <c r="V10" s="16">
        <v>0.04</v>
      </c>
    </row>
    <row r="11" spans="1:25" x14ac:dyDescent="0.3">
      <c r="C11" s="9" t="s">
        <v>18</v>
      </c>
      <c r="D11" s="9" t="s">
        <v>10</v>
      </c>
      <c r="E11" s="9" t="s">
        <v>11</v>
      </c>
      <c r="F11" s="10">
        <v>43303</v>
      </c>
      <c r="G11" s="11">
        <v>88050</v>
      </c>
      <c r="H11" s="28">
        <f t="array" ref="H11">INDEX($V$5:$V$12,MATCH(1,($T$5:$T$12=E11)*($U$5:$U$12=D11),0))</f>
        <v>0.05</v>
      </c>
      <c r="I11" s="9" t="str" cm="1">
        <f t="array" ref="I11">IFERROR(INDEX($N$5:$N$26,MATCH(C11,$N$5:$N$26,0)+1),"No email ID")</f>
        <v>No email ID</v>
      </c>
      <c r="N11" t="s">
        <v>25</v>
      </c>
      <c r="Q11" s="14" t="s">
        <v>28</v>
      </c>
      <c r="R11" s="4" t="s">
        <v>3</v>
      </c>
      <c r="T11" s="9" t="s">
        <v>14</v>
      </c>
      <c r="U11" s="13" t="s">
        <v>10</v>
      </c>
      <c r="V11" s="16">
        <v>0.04</v>
      </c>
    </row>
    <row r="12" spans="1:25" x14ac:dyDescent="0.3">
      <c r="C12" s="9" t="s">
        <v>19</v>
      </c>
      <c r="D12" s="9" t="s">
        <v>10</v>
      </c>
      <c r="E12" s="9" t="s">
        <v>11</v>
      </c>
      <c r="F12" s="10">
        <v>43238</v>
      </c>
      <c r="G12" s="11">
        <v>69120</v>
      </c>
      <c r="H12" s="28">
        <f t="array" ref="H12">INDEX($V$5:$V$12,MATCH(1,($T$5:$T$12=E12)*($U$5:$U$12=D12),0))</f>
        <v>0.05</v>
      </c>
      <c r="I12" s="9" t="str" cm="1">
        <f t="array" ref="I12">IFERROR(INDEX($N$5:$N$26,MATCH(C12,$N$5:$N$26,0)+1),"No email ID")</f>
        <v>No email ID</v>
      </c>
      <c r="N12" s="26" t="s">
        <v>43</v>
      </c>
      <c r="Q12" s="15">
        <v>0.03</v>
      </c>
      <c r="R12" s="6" t="s">
        <v>16</v>
      </c>
      <c r="T12" s="9" t="s">
        <v>11</v>
      </c>
      <c r="U12" s="13" t="s">
        <v>10</v>
      </c>
      <c r="V12" s="16">
        <v>0.05</v>
      </c>
    </row>
    <row r="13" spans="1:25" x14ac:dyDescent="0.3">
      <c r="C13" s="9" t="s">
        <v>20</v>
      </c>
      <c r="D13" s="9" t="s">
        <v>7</v>
      </c>
      <c r="E13" s="9" t="s">
        <v>11</v>
      </c>
      <c r="F13" s="10">
        <v>43628</v>
      </c>
      <c r="G13" s="11">
        <v>58100</v>
      </c>
      <c r="H13" s="28">
        <f t="array" ref="H13">INDEX($V$5:$V$12,MATCH(1,($T$5:$T$12=E13)*($U$5:$U$12=D13),0))</f>
        <v>0.06</v>
      </c>
      <c r="I13" s="9" t="str" cm="1">
        <f t="array" ref="I13">IFERROR(INDEX($N$5:$N$26,MATCH(C13,$N$5:$N$26,0)+1),"No email ID")</f>
        <v>No email ID</v>
      </c>
      <c r="K13" s="9" t="s">
        <v>34</v>
      </c>
      <c r="L13" s="22">
        <v>88000</v>
      </c>
      <c r="N13" t="s">
        <v>15</v>
      </c>
      <c r="Q13" s="16">
        <v>0.04</v>
      </c>
      <c r="R13" s="9" t="s">
        <v>8</v>
      </c>
    </row>
    <row r="14" spans="1:25" x14ac:dyDescent="0.3">
      <c r="C14" s="9" t="s">
        <v>21</v>
      </c>
      <c r="D14" s="9" t="s">
        <v>7</v>
      </c>
      <c r="E14" s="9" t="s">
        <v>16</v>
      </c>
      <c r="F14" s="10">
        <v>43355</v>
      </c>
      <c r="G14" s="11">
        <v>67910</v>
      </c>
      <c r="H14" s="28">
        <f t="array" ref="H14">INDEX($V$5:$V$12,MATCH(1,($T$5:$T$12=E14)*($U$5:$U$12=D14),0))</f>
        <v>0.04</v>
      </c>
      <c r="I14" s="9" t="str" cm="1">
        <f t="array" ref="I14">IFERROR(INDEX($N$5:$N$26,MATCH(C14,$N$5:$N$26,0)+1),"No email ID")</f>
        <v>h.augar@awesome.ch</v>
      </c>
      <c r="K14" s="9" t="s">
        <v>31</v>
      </c>
      <c r="L14" s="23" t="str">
        <f>IFERROR(INDEX(C5:C20,MATCH(L13,G5:G20,0)),"Not found")</f>
        <v>Not found</v>
      </c>
      <c r="N14" s="26" t="s">
        <v>39</v>
      </c>
      <c r="Q14" s="16">
        <v>0.04</v>
      </c>
      <c r="R14" s="9" t="s">
        <v>14</v>
      </c>
    </row>
    <row r="15" spans="1:25" x14ac:dyDescent="0.3">
      <c r="C15" s="9" t="s">
        <v>22</v>
      </c>
      <c r="D15" s="9" t="s">
        <v>10</v>
      </c>
      <c r="E15" s="9" t="s">
        <v>16</v>
      </c>
      <c r="F15" s="10">
        <v>43007</v>
      </c>
      <c r="G15" s="11">
        <v>48170</v>
      </c>
      <c r="H15" s="28">
        <f t="array" ref="H15">INDEX($V$5:$V$12,MATCH(1,($T$5:$T$12=E15)*($U$5:$U$12=D15),0))</f>
        <v>0.03</v>
      </c>
      <c r="I15" s="9" t="str" cm="1">
        <f t="array" ref="I15">IFERROR(INDEX($N$5:$N$26,MATCH(C15,$N$5:$N$26,0)+1),"No email ID")</f>
        <v>j.morforth@awesome.ch</v>
      </c>
      <c r="N15" t="s">
        <v>23</v>
      </c>
      <c r="Q15" s="16">
        <v>0.05</v>
      </c>
      <c r="R15" s="9" t="s">
        <v>11</v>
      </c>
    </row>
    <row r="16" spans="1:25" x14ac:dyDescent="0.3">
      <c r="C16" s="9" t="s">
        <v>23</v>
      </c>
      <c r="D16" s="9" t="s">
        <v>7</v>
      </c>
      <c r="E16" s="9" t="s">
        <v>11</v>
      </c>
      <c r="F16" s="10">
        <v>43110</v>
      </c>
      <c r="G16" s="11">
        <v>41980</v>
      </c>
      <c r="H16" s="28">
        <f t="array" ref="H16">INDEX($V$5:$V$12,MATCH(1,($T$5:$T$12=E16)*($U$5:$U$12=D16),0))</f>
        <v>0.06</v>
      </c>
      <c r="I16" s="9" t="str" cm="1">
        <f t="array" ref="I16">IFERROR(INDEX($N$5:$N$26,MATCH(C16,$N$5:$N$26,0)+1),"No email ID")</f>
        <v>d.strutley@awesome.ch</v>
      </c>
      <c r="N16" s="26" t="s">
        <v>42</v>
      </c>
    </row>
    <row r="17" spans="3:19" x14ac:dyDescent="0.3">
      <c r="C17" s="9" t="s">
        <v>24</v>
      </c>
      <c r="D17" s="9" t="s">
        <v>7</v>
      </c>
      <c r="E17" s="9" t="s">
        <v>16</v>
      </c>
      <c r="F17" s="10">
        <v>43282</v>
      </c>
      <c r="G17" s="11">
        <v>65920</v>
      </c>
      <c r="H17" s="28">
        <f t="array" ref="H17">INDEX($V$5:$V$12,MATCH(1,($T$5:$T$12=E17)*($U$5:$U$12=D17),0))</f>
        <v>0.04</v>
      </c>
      <c r="I17" s="9" t="str" cm="1">
        <f t="array" ref="I17">IFERROR(INDEX($N$5:$N$26,MATCH(C17,$N$5:$N$26,0)+1),"No email ID")</f>
        <v>m.obreen@awesome.ch</v>
      </c>
      <c r="N17" t="s">
        <v>21</v>
      </c>
    </row>
    <row r="18" spans="3:19" x14ac:dyDescent="0.3">
      <c r="C18" s="9" t="s">
        <v>25</v>
      </c>
      <c r="D18" s="9" t="s">
        <v>7</v>
      </c>
      <c r="E18" s="9" t="s">
        <v>14</v>
      </c>
      <c r="F18" s="10">
        <v>43342</v>
      </c>
      <c r="G18" s="11">
        <v>109160</v>
      </c>
      <c r="H18" s="28">
        <f t="array" ref="H18">INDEX($V$5:$V$12,MATCH(1,($T$5:$T$12=E18)*($U$5:$U$12=D18),0))</f>
        <v>0.03</v>
      </c>
      <c r="I18" s="9" t="str" cm="1">
        <f t="array" ref="I18">IFERROR(INDEX($N$5:$N$26,MATCH(C18,$N$5:$N$26,0)+1),"No email ID")</f>
        <v>r.blaksland@awesome.ch</v>
      </c>
      <c r="N18" s="26" t="s">
        <v>40</v>
      </c>
      <c r="Q18" s="4" t="s">
        <v>3</v>
      </c>
      <c r="R18" s="14" t="s">
        <v>2</v>
      </c>
      <c r="S18" s="14" t="s">
        <v>28</v>
      </c>
    </row>
    <row r="19" spans="3:19" x14ac:dyDescent="0.3">
      <c r="C19" s="9" t="s">
        <v>26</v>
      </c>
      <c r="D19" s="9" t="s">
        <v>7</v>
      </c>
      <c r="E19" s="9" t="s">
        <v>16</v>
      </c>
      <c r="F19" s="10">
        <v>43151</v>
      </c>
      <c r="G19" s="11">
        <v>75970</v>
      </c>
      <c r="H19" s="28">
        <f t="array" ref="H19">INDEX($V$5:$V$12,MATCH(1,($T$5:$T$12=E19)*($U$5:$U$12=D19),0))</f>
        <v>0.04</v>
      </c>
      <c r="I19" s="9" t="str" cm="1">
        <f t="array" ref="I19">IFERROR(INDEX($N$5:$N$26,MATCH(C19,$N$5:$N$26,0)+1),"No email ID")</f>
        <v>b.moffet@awesome.ch</v>
      </c>
      <c r="N19" t="s">
        <v>12</v>
      </c>
      <c r="Q19" s="9" t="s">
        <v>16</v>
      </c>
      <c r="R19" s="13" t="s">
        <v>7</v>
      </c>
      <c r="S19" s="16">
        <v>0.04</v>
      </c>
    </row>
    <row r="20" spans="3:19" x14ac:dyDescent="0.3">
      <c r="C20" s="9" t="s">
        <v>27</v>
      </c>
      <c r="D20" s="9" t="s">
        <v>7</v>
      </c>
      <c r="E20" s="9" t="s">
        <v>16</v>
      </c>
      <c r="F20" s="10">
        <v>43618</v>
      </c>
      <c r="G20" s="11">
        <v>58940</v>
      </c>
      <c r="H20" s="28">
        <f t="array" ref="H20">INDEX($V$5:$V$12,MATCH(1,($T$5:$T$12=E20)*($U$5:$U$12=D20),0))</f>
        <v>0.04</v>
      </c>
      <c r="I20" s="9" t="str" cm="1">
        <f t="array" ref="I20">IFERROR(INDEX($N$5:$N$26,MATCH(C20,$N$5:$N$26,0)+1),"No email ID")</f>
        <v>o.sorrel@awesome.ch</v>
      </c>
      <c r="N20" s="26" t="s">
        <v>38</v>
      </c>
      <c r="Q20" s="9" t="s">
        <v>8</v>
      </c>
      <c r="R20" s="13" t="s">
        <v>7</v>
      </c>
      <c r="S20" s="16">
        <v>0.05</v>
      </c>
    </row>
    <row r="21" spans="3:19" x14ac:dyDescent="0.3">
      <c r="N21" t="s">
        <v>27</v>
      </c>
      <c r="Q21" s="9" t="s">
        <v>14</v>
      </c>
      <c r="R21" s="13" t="s">
        <v>7</v>
      </c>
      <c r="S21" s="16">
        <v>0.03</v>
      </c>
    </row>
    <row r="22" spans="3:19" x14ac:dyDescent="0.3">
      <c r="N22" s="26" t="s">
        <v>45</v>
      </c>
      <c r="Q22" s="9" t="s">
        <v>11</v>
      </c>
      <c r="R22" s="13" t="s">
        <v>7</v>
      </c>
      <c r="S22" s="16">
        <v>0.06</v>
      </c>
    </row>
    <row r="23" spans="3:19" x14ac:dyDescent="0.3">
      <c r="N23" t="s">
        <v>24</v>
      </c>
      <c r="Q23" s="9" t="s">
        <v>16</v>
      </c>
      <c r="R23" s="13" t="s">
        <v>10</v>
      </c>
      <c r="S23" s="16">
        <v>0.03</v>
      </c>
    </row>
    <row r="24" spans="3:19" x14ac:dyDescent="0.3">
      <c r="N24" s="26" t="s">
        <v>46</v>
      </c>
      <c r="Q24" s="9" t="s">
        <v>8</v>
      </c>
      <c r="R24" s="13" t="s">
        <v>10</v>
      </c>
      <c r="S24" s="16">
        <v>0.04</v>
      </c>
    </row>
    <row r="25" spans="3:19" x14ac:dyDescent="0.3">
      <c r="N25" t="s">
        <v>26</v>
      </c>
      <c r="Q25" s="9" t="s">
        <v>14</v>
      </c>
      <c r="R25" s="13" t="s">
        <v>10</v>
      </c>
      <c r="S25" s="16">
        <v>0.04</v>
      </c>
    </row>
    <row r="26" spans="3:19" x14ac:dyDescent="0.3">
      <c r="N26" s="26" t="s">
        <v>44</v>
      </c>
      <c r="Q26" s="9" t="s">
        <v>11</v>
      </c>
      <c r="R26" s="13" t="s">
        <v>10</v>
      </c>
      <c r="S26" s="16">
        <v>0.05</v>
      </c>
    </row>
  </sheetData>
  <mergeCells count="1">
    <mergeCell ref="X3:Y3"/>
  </mergeCells>
  <hyperlinks>
    <hyperlink ref="N20" r:id="rId1" xr:uid="{D24D2BEB-F4B4-4914-BC34-3A021CFA8F04}"/>
    <hyperlink ref="N22" r:id="rId2" xr:uid="{448499E5-E585-4195-B528-28556AFF3503}"/>
    <hyperlink ref="N26" r:id="rId3" xr:uid="{B54C189B-C86B-44E1-93EA-F81B3688874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925A-BF56-4D08-9889-8F61D9934933}">
  <dimension ref="A1:M20"/>
  <sheetViews>
    <sheetView showGridLines="0" tabSelected="1" zoomScaleNormal="100" workbookViewId="0">
      <selection activeCell="H5" sqref="H5"/>
    </sheetView>
  </sheetViews>
  <sheetFormatPr defaultRowHeight="14.4" x14ac:dyDescent="0.3"/>
  <cols>
    <col min="1" max="1" width="1.6640625" customWidth="1"/>
    <col min="2" max="2" width="3.6640625" customWidth="1"/>
    <col min="3" max="3" width="18.21875" bestFit="1" customWidth="1"/>
    <col min="4" max="4" width="7.109375" bestFit="1" customWidth="1"/>
    <col min="5" max="5" width="11.5546875" bestFit="1" customWidth="1"/>
    <col min="6" max="6" width="10.77734375" bestFit="1" customWidth="1"/>
    <col min="7" max="7" width="9.5546875" bestFit="1" customWidth="1"/>
    <col min="8" max="9" width="7.6640625" bestFit="1" customWidth="1"/>
    <col min="10" max="10" width="11" customWidth="1"/>
    <col min="11" max="12" width="12.5546875" bestFit="1" customWidth="1"/>
    <col min="13" max="13" width="12.44140625" customWidth="1"/>
    <col min="14" max="14" width="10.33203125" customWidth="1"/>
    <col min="20" max="20" width="12.5546875" bestFit="1" customWidth="1"/>
  </cols>
  <sheetData>
    <row r="1" spans="1:13" s="2" customFormat="1" ht="52.5" customHeight="1" x14ac:dyDescent="0.3">
      <c r="A1" s="1"/>
      <c r="C1" s="3" t="s">
        <v>29</v>
      </c>
    </row>
    <row r="4" spans="1:13" x14ac:dyDescent="0.3">
      <c r="C4" t="s">
        <v>1</v>
      </c>
      <c r="D4" t="s">
        <v>2</v>
      </c>
      <c r="E4" t="s">
        <v>3</v>
      </c>
      <c r="F4" s="17" t="s">
        <v>4</v>
      </c>
      <c r="G4" s="19" t="s">
        <v>5</v>
      </c>
      <c r="H4" s="19" t="s">
        <v>49</v>
      </c>
      <c r="I4" s="19" t="s">
        <v>50</v>
      </c>
      <c r="K4" s="14" t="s">
        <v>51</v>
      </c>
      <c r="L4" s="4" t="s">
        <v>3</v>
      </c>
    </row>
    <row r="5" spans="1:13" x14ac:dyDescent="0.3">
      <c r="C5" t="s">
        <v>6</v>
      </c>
      <c r="D5" t="s">
        <v>7</v>
      </c>
      <c r="E5" t="s">
        <v>8</v>
      </c>
      <c r="F5" s="17">
        <v>43744</v>
      </c>
      <c r="G5" s="18">
        <v>75000</v>
      </c>
      <c r="H5" s="24">
        <f>INDEX($K$5:$K$8,MATCH(staff[[#This Row],[Department]],$L$5:$L$8,0))</f>
        <v>0.04</v>
      </c>
      <c r="I5" s="24">
        <f>INDEX($L$14:$M$17,MATCH(staff[[#This Row],[Department]],$K$14:$K$17,0),
MATCH(staff[[#This Row],[Gender]],$L$13:$M$13,0))</f>
        <v>0.05</v>
      </c>
      <c r="K5" s="15">
        <v>0.03</v>
      </c>
      <c r="L5" s="6" t="s">
        <v>16</v>
      </c>
    </row>
    <row r="6" spans="1:13" x14ac:dyDescent="0.3">
      <c r="C6" t="s">
        <v>9</v>
      </c>
      <c r="D6" t="s">
        <v>10</v>
      </c>
      <c r="E6" t="s">
        <v>11</v>
      </c>
      <c r="F6" s="17">
        <v>43601</v>
      </c>
      <c r="G6" s="18">
        <v>90700</v>
      </c>
      <c r="H6" s="24">
        <f>INDEX($K$5:$K$8,MATCH(staff[[#This Row],[Department]],$L$5:$L$8,0))</f>
        <v>0.05</v>
      </c>
      <c r="I6" s="24">
        <f>INDEX($L$14:$M$17,MATCH(staff[[#This Row],[Department]],$K$14:$K$17,0),
MATCH(staff[[#This Row],[Gender]],$L$13:$M$13,0))</f>
        <v>0.05</v>
      </c>
      <c r="K6" s="16">
        <v>0.04</v>
      </c>
      <c r="L6" s="9" t="s">
        <v>8</v>
      </c>
    </row>
    <row r="7" spans="1:13" x14ac:dyDescent="0.3">
      <c r="C7" t="s">
        <v>12</v>
      </c>
      <c r="D7" t="s">
        <v>10</v>
      </c>
      <c r="E7" t="s">
        <v>11</v>
      </c>
      <c r="F7" s="17">
        <v>43476</v>
      </c>
      <c r="G7" s="18">
        <v>48950</v>
      </c>
      <c r="H7" s="24">
        <f>INDEX($K$5:$K$8,MATCH(staff[[#This Row],[Department]],$L$5:$L$8,0))</f>
        <v>0.05</v>
      </c>
      <c r="I7" s="24">
        <f>INDEX($L$14:$M$17,MATCH(staff[[#This Row],[Department]],$K$14:$K$17,0),
MATCH(staff[[#This Row],[Gender]],$L$13:$M$13,0))</f>
        <v>0.05</v>
      </c>
      <c r="K7" s="16">
        <v>0.04</v>
      </c>
      <c r="L7" s="9" t="s">
        <v>14</v>
      </c>
    </row>
    <row r="8" spans="1:13" x14ac:dyDescent="0.3">
      <c r="C8" t="s">
        <v>13</v>
      </c>
      <c r="D8" t="s">
        <v>10</v>
      </c>
      <c r="E8" t="s">
        <v>14</v>
      </c>
      <c r="F8" s="17">
        <v>43351</v>
      </c>
      <c r="G8" s="18">
        <v>74550</v>
      </c>
      <c r="H8" s="24">
        <f>INDEX($K$5:$K$8,MATCH(staff[[#This Row],[Department]],$L$5:$L$8,0))</f>
        <v>0.04</v>
      </c>
      <c r="I8" s="24">
        <f>INDEX($L$14:$M$17,MATCH(staff[[#This Row],[Department]],$K$14:$K$17,0),
MATCH(staff[[#This Row],[Gender]],$L$13:$M$13,0))</f>
        <v>0.03</v>
      </c>
      <c r="K8" s="16">
        <v>0.05</v>
      </c>
      <c r="L8" s="9" t="s">
        <v>11</v>
      </c>
    </row>
    <row r="9" spans="1:13" x14ac:dyDescent="0.3">
      <c r="C9" t="s">
        <v>15</v>
      </c>
      <c r="D9" t="s">
        <v>10</v>
      </c>
      <c r="E9" t="s">
        <v>16</v>
      </c>
      <c r="F9" s="17">
        <v>43560</v>
      </c>
      <c r="G9" s="18">
        <v>59810</v>
      </c>
      <c r="H9" s="24">
        <f>INDEX($K$5:$K$8,MATCH(staff[[#This Row],[Department]],$L$5:$L$8,0))</f>
        <v>0.03</v>
      </c>
      <c r="I9" s="24">
        <f>INDEX($L$14:$M$17,MATCH(staff[[#This Row],[Department]],$K$14:$K$17,0),
MATCH(staff[[#This Row],[Gender]],$L$13:$M$13,0))</f>
        <v>0.03</v>
      </c>
    </row>
    <row r="10" spans="1:13" x14ac:dyDescent="0.3">
      <c r="C10" t="s">
        <v>17</v>
      </c>
      <c r="D10" t="s">
        <v>10</v>
      </c>
      <c r="E10" t="s">
        <v>11</v>
      </c>
      <c r="F10" s="17">
        <v>43424</v>
      </c>
      <c r="G10" s="18">
        <v>107700</v>
      </c>
      <c r="H10" s="24">
        <f>INDEX($K$5:$K$8,MATCH(staff[[#This Row],[Department]],$L$5:$L$8,0))</f>
        <v>0.05</v>
      </c>
      <c r="I10" s="24">
        <f>INDEX($L$14:$M$17,MATCH(staff[[#This Row],[Department]],$K$14:$K$17,0),
MATCH(staff[[#This Row],[Gender]],$L$13:$M$13,0))</f>
        <v>0.05</v>
      </c>
    </row>
    <row r="11" spans="1:13" x14ac:dyDescent="0.3">
      <c r="C11" t="s">
        <v>18</v>
      </c>
      <c r="D11" t="s">
        <v>10</v>
      </c>
      <c r="E11" t="s">
        <v>11</v>
      </c>
      <c r="F11" s="17">
        <v>43303</v>
      </c>
      <c r="G11" s="18">
        <v>88050</v>
      </c>
      <c r="H11" s="24">
        <f>INDEX($K$5:$K$8,MATCH(staff[[#This Row],[Department]],$L$5:$L$8,0))</f>
        <v>0.05</v>
      </c>
      <c r="I11" s="24">
        <f>INDEX($L$14:$M$17,MATCH(staff[[#This Row],[Department]],$K$14:$K$17,0),
MATCH(staff[[#This Row],[Gender]],$L$13:$M$13,0))</f>
        <v>0.05</v>
      </c>
    </row>
    <row r="12" spans="1:13" x14ac:dyDescent="0.3">
      <c r="C12" t="s">
        <v>19</v>
      </c>
      <c r="D12" t="s">
        <v>10</v>
      </c>
      <c r="E12" t="s">
        <v>11</v>
      </c>
      <c r="F12" s="17">
        <v>43238</v>
      </c>
      <c r="G12" s="18">
        <v>69120</v>
      </c>
      <c r="H12" s="24">
        <f>INDEX($K$5:$K$8,MATCH(staff[[#This Row],[Department]],$L$5:$L$8,0))</f>
        <v>0.05</v>
      </c>
      <c r="I12" s="24">
        <f>INDEX($L$14:$M$17,MATCH(staff[[#This Row],[Department]],$K$14:$K$17,0),
MATCH(staff[[#This Row],[Gender]],$L$13:$M$13,0))</f>
        <v>0.05</v>
      </c>
      <c r="L12" s="38" t="s">
        <v>52</v>
      </c>
      <c r="M12" s="38"/>
    </row>
    <row r="13" spans="1:13" x14ac:dyDescent="0.3">
      <c r="C13" t="s">
        <v>20</v>
      </c>
      <c r="D13" t="s">
        <v>7</v>
      </c>
      <c r="E13" t="s">
        <v>11</v>
      </c>
      <c r="F13" s="17">
        <v>43628</v>
      </c>
      <c r="G13" s="18">
        <v>58100</v>
      </c>
      <c r="H13" s="24">
        <f>INDEX($K$5:$K$8,MATCH(staff[[#This Row],[Department]],$L$5:$L$8,0))</f>
        <v>0.05</v>
      </c>
      <c r="I13" s="24">
        <f>INDEX($L$14:$M$17,MATCH(staff[[#This Row],[Department]],$K$14:$K$17,0),
MATCH(staff[[#This Row],[Gender]],$L$13:$M$13,0))</f>
        <v>0.06</v>
      </c>
      <c r="K13" s="4" t="s">
        <v>3</v>
      </c>
      <c r="L13" s="14" t="s">
        <v>7</v>
      </c>
      <c r="M13" s="14" t="s">
        <v>10</v>
      </c>
    </row>
    <row r="14" spans="1:13" x14ac:dyDescent="0.3">
      <c r="C14" t="s">
        <v>21</v>
      </c>
      <c r="D14" t="s">
        <v>7</v>
      </c>
      <c r="E14" t="s">
        <v>16</v>
      </c>
      <c r="F14" s="17">
        <v>43355</v>
      </c>
      <c r="G14" s="18">
        <v>67910</v>
      </c>
      <c r="H14" s="24">
        <f>INDEX($K$5:$K$8,MATCH(staff[[#This Row],[Department]],$L$5:$L$8,0))</f>
        <v>0.03</v>
      </c>
      <c r="I14" s="24">
        <f>INDEX($L$14:$M$17,MATCH(staff[[#This Row],[Department]],$K$14:$K$17,0),
MATCH(staff[[#This Row],[Gender]],$L$13:$M$13,0))</f>
        <v>0.04</v>
      </c>
      <c r="K14" s="6" t="s">
        <v>16</v>
      </c>
      <c r="L14" s="15">
        <v>0.04</v>
      </c>
      <c r="M14" s="15">
        <v>0.03</v>
      </c>
    </row>
    <row r="15" spans="1:13" x14ac:dyDescent="0.3">
      <c r="C15" t="s">
        <v>22</v>
      </c>
      <c r="D15" t="s">
        <v>10</v>
      </c>
      <c r="E15" t="s">
        <v>16</v>
      </c>
      <c r="F15" s="17">
        <v>43007</v>
      </c>
      <c r="G15" s="18">
        <v>48170</v>
      </c>
      <c r="H15" s="24">
        <f>INDEX($K$5:$K$8,MATCH(staff[[#This Row],[Department]],$L$5:$L$8,0))</f>
        <v>0.03</v>
      </c>
      <c r="I15" s="24">
        <f>INDEX($L$14:$M$17,MATCH(staff[[#This Row],[Department]],$K$14:$K$17,0),
MATCH(staff[[#This Row],[Gender]],$L$13:$M$13,0))</f>
        <v>0.03</v>
      </c>
      <c r="K15" s="9" t="s">
        <v>8</v>
      </c>
      <c r="L15" s="16">
        <v>0.05</v>
      </c>
      <c r="M15" s="16">
        <v>0.04</v>
      </c>
    </row>
    <row r="16" spans="1:13" x14ac:dyDescent="0.3">
      <c r="C16" t="s">
        <v>23</v>
      </c>
      <c r="D16" t="s">
        <v>7</v>
      </c>
      <c r="E16" t="s">
        <v>11</v>
      </c>
      <c r="F16" s="17">
        <v>43110</v>
      </c>
      <c r="G16" s="18">
        <v>41980</v>
      </c>
      <c r="H16" s="24">
        <f>INDEX($K$5:$K$8,MATCH(staff[[#This Row],[Department]],$L$5:$L$8,0))</f>
        <v>0.05</v>
      </c>
      <c r="I16" s="24">
        <f>INDEX($L$14:$M$17,MATCH(staff[[#This Row],[Department]],$K$14:$K$17,0),
MATCH(staff[[#This Row],[Gender]],$L$13:$M$13,0))</f>
        <v>0.06</v>
      </c>
      <c r="K16" s="9" t="s">
        <v>14</v>
      </c>
      <c r="L16" s="16">
        <v>0.03</v>
      </c>
      <c r="M16" s="16">
        <v>0.03</v>
      </c>
    </row>
    <row r="17" spans="3:13" x14ac:dyDescent="0.3">
      <c r="C17" t="s">
        <v>24</v>
      </c>
      <c r="D17" t="s">
        <v>7</v>
      </c>
      <c r="E17" t="s">
        <v>16</v>
      </c>
      <c r="F17" s="17">
        <v>43282</v>
      </c>
      <c r="G17" s="18">
        <v>65920</v>
      </c>
      <c r="H17" s="24">
        <f>INDEX($K$5:$K$8,MATCH(staff[[#This Row],[Department]],$L$5:$L$8,0))</f>
        <v>0.03</v>
      </c>
      <c r="I17" s="24">
        <f>INDEX($L$14:$M$17,MATCH(staff[[#This Row],[Department]],$K$14:$K$17,0),
MATCH(staff[[#This Row],[Gender]],$L$13:$M$13,0))</f>
        <v>0.04</v>
      </c>
      <c r="K17" s="9" t="s">
        <v>11</v>
      </c>
      <c r="L17" s="16">
        <v>0.06</v>
      </c>
      <c r="M17" s="16">
        <v>0.05</v>
      </c>
    </row>
    <row r="18" spans="3:13" x14ac:dyDescent="0.3">
      <c r="C18" t="s">
        <v>25</v>
      </c>
      <c r="D18" t="s">
        <v>7</v>
      </c>
      <c r="E18" t="s">
        <v>14</v>
      </c>
      <c r="F18" s="17">
        <v>43342</v>
      </c>
      <c r="G18" s="18">
        <v>109160</v>
      </c>
      <c r="H18" s="24">
        <f>INDEX($K$5:$K$8,MATCH(staff[[#This Row],[Department]],$L$5:$L$8,0))</f>
        <v>0.04</v>
      </c>
      <c r="I18" s="24">
        <f>INDEX($L$14:$M$17,MATCH(staff[[#This Row],[Department]],$K$14:$K$17,0),
MATCH(staff[[#This Row],[Gender]],$L$13:$M$13,0))</f>
        <v>0.03</v>
      </c>
    </row>
    <row r="19" spans="3:13" x14ac:dyDescent="0.3">
      <c r="C19" t="s">
        <v>26</v>
      </c>
      <c r="D19" t="s">
        <v>7</v>
      </c>
      <c r="E19" t="s">
        <v>16</v>
      </c>
      <c r="F19" s="17">
        <v>43151</v>
      </c>
      <c r="G19" s="18">
        <v>75970</v>
      </c>
      <c r="H19" s="24">
        <f>INDEX($K$5:$K$8,MATCH(staff[[#This Row],[Department]],$L$5:$L$8,0))</f>
        <v>0.03</v>
      </c>
      <c r="I19" s="24">
        <f>INDEX($L$14:$M$17,MATCH(staff[[#This Row],[Department]],$K$14:$K$17,0),
MATCH(staff[[#This Row],[Gender]],$L$13:$M$13,0))</f>
        <v>0.04</v>
      </c>
      <c r="K19" s="32" t="str">
        <f>INDEX(K14:K17,3)</f>
        <v>Sales</v>
      </c>
    </row>
    <row r="20" spans="3:13" x14ac:dyDescent="0.3">
      <c r="C20" t="s">
        <v>27</v>
      </c>
      <c r="D20" t="s">
        <v>7</v>
      </c>
      <c r="E20" t="s">
        <v>16</v>
      </c>
      <c r="F20" s="17">
        <v>43618</v>
      </c>
      <c r="G20" s="18">
        <v>58940</v>
      </c>
      <c r="H20" s="24">
        <f>INDEX($K$5:$K$8,MATCH(staff[[#This Row],[Department]],$L$5:$L$8,0))</f>
        <v>0.03</v>
      </c>
      <c r="I20" s="24">
        <f>INDEX($L$14:$M$17,MATCH(staff[[#This Row],[Department]],$K$14:$K$17,0),
MATCH(staff[[#This Row],[Gender]],$L$13:$M$13,0))</f>
        <v>0.04</v>
      </c>
      <c r="K20" s="33">
        <f>INDEX(L14:M17,2,2)</f>
        <v>0.04</v>
      </c>
      <c r="L20" t="s">
        <v>65</v>
      </c>
    </row>
  </sheetData>
  <mergeCells count="1">
    <mergeCell ref="L12:M1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C4C6-0F47-4E89-A6BA-27C57FE32BE2}">
  <dimension ref="B2:D17"/>
  <sheetViews>
    <sheetView showGridLines="0" zoomScaleNormal="100" workbookViewId="0">
      <selection activeCell="C30" sqref="C30"/>
    </sheetView>
  </sheetViews>
  <sheetFormatPr defaultRowHeight="14.4" x14ac:dyDescent="0.3"/>
  <cols>
    <col min="1" max="1" width="2.44140625" customWidth="1"/>
    <col min="2" max="2" width="3.5546875" customWidth="1"/>
    <col min="3" max="3" width="41.6640625" customWidth="1"/>
    <col min="4" max="4" width="6" customWidth="1"/>
  </cols>
  <sheetData>
    <row r="2" spans="2:4" x14ac:dyDescent="0.3">
      <c r="B2" s="35" t="s">
        <v>53</v>
      </c>
      <c r="C2" s="35"/>
    </row>
    <row r="3" spans="2:4" ht="9" customHeight="1" x14ac:dyDescent="0.3"/>
    <row r="4" spans="2:4" x14ac:dyDescent="0.3">
      <c r="C4" s="34" t="s">
        <v>55</v>
      </c>
      <c r="D4" s="36" t="s">
        <v>64</v>
      </c>
    </row>
    <row r="5" spans="2:4" x14ac:dyDescent="0.3">
      <c r="C5" s="34" t="s">
        <v>56</v>
      </c>
    </row>
    <row r="6" spans="2:4" x14ac:dyDescent="0.3">
      <c r="C6" s="34" t="s">
        <v>57</v>
      </c>
    </row>
    <row r="8" spans="2:4" x14ac:dyDescent="0.3">
      <c r="B8" s="35" t="s">
        <v>54</v>
      </c>
      <c r="C8" s="35"/>
    </row>
    <row r="9" spans="2:4" ht="9" customHeight="1" x14ac:dyDescent="0.3"/>
    <row r="10" spans="2:4" x14ac:dyDescent="0.3">
      <c r="C10" s="34" t="s">
        <v>58</v>
      </c>
    </row>
    <row r="11" spans="2:4" x14ac:dyDescent="0.3">
      <c r="C11" s="34" t="s">
        <v>59</v>
      </c>
    </row>
    <row r="12" spans="2:4" x14ac:dyDescent="0.3">
      <c r="C12" s="34" t="s">
        <v>60</v>
      </c>
    </row>
    <row r="14" spans="2:4" x14ac:dyDescent="0.3">
      <c r="B14" s="35" t="s">
        <v>63</v>
      </c>
      <c r="C14" s="35"/>
    </row>
    <row r="15" spans="2:4" ht="9" customHeight="1" x14ac:dyDescent="0.3"/>
    <row r="16" spans="2:4" x14ac:dyDescent="0.3">
      <c r="C16" s="34" t="s">
        <v>61</v>
      </c>
    </row>
    <row r="17" spans="3:3" x14ac:dyDescent="0.3">
      <c r="C17" s="34" t="s">
        <v>62</v>
      </c>
    </row>
  </sheetData>
  <hyperlinks>
    <hyperlink ref="C10" r:id="rId1" xr:uid="{6735BB67-F1ED-4EDE-8605-F5EAD66665E5}"/>
    <hyperlink ref="C11" r:id="rId2" xr:uid="{E87A7297-DDCE-45D3-ADB7-D60797E30BCA}"/>
    <hyperlink ref="C12" r:id="rId3" xr:uid="{DBE5BB30-4C1A-4CAD-813D-19880DD16E09}"/>
    <hyperlink ref="C16" r:id="rId4" xr:uid="{84D63CE6-84CD-4446-8080-D85E6AF242C3}"/>
    <hyperlink ref="C17" r:id="rId5" xr:uid="{D60A8D82-E462-4BE5-9965-35D1CC966215}"/>
    <hyperlink ref="C5" r:id="rId6" xr:uid="{6D107504-E077-41B0-88A5-D291F63028B4}"/>
    <hyperlink ref="C6" r:id="rId7" xr:uid="{09BA899C-52AE-4C59-BCE3-516CE618F56D}"/>
    <hyperlink ref="C4" r:id="rId8" xr:uid="{2444A421-BEAB-45B5-8ADE-951B38975B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MATCH</vt:lpstr>
      <vt:lpstr>With Table Data</vt:lpstr>
      <vt:lpstr>MORE!!!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Sameer Hawal</cp:lastModifiedBy>
  <dcterms:created xsi:type="dcterms:W3CDTF">2021-03-14T20:21:32Z</dcterms:created>
  <dcterms:modified xsi:type="dcterms:W3CDTF">2026-04-16T11:42:53Z</dcterms:modified>
</cp:coreProperties>
</file>