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eaning\"/>
    </mc:Choice>
  </mc:AlternateContent>
  <xr:revisionPtr revIDLastSave="0" documentId="13_ncr:1_{891C3DA7-B99D-46D6-9647-65B195BBFF14}" xr6:coauthVersionLast="47" xr6:coauthVersionMax="47" xr10:uidLastSave="{00000000-0000-0000-0000-000000000000}"/>
  <bookViews>
    <workbookView xWindow="-108" yWindow="-108" windowWidth="23256" windowHeight="13176" xr2:uid="{26D4546B-D2A1-4444-8EAF-A6228F96F0C1}"/>
  </bookViews>
  <sheets>
    <sheet name="Master_staff" sheetId="5" r:id="rId1"/>
    <sheet name="India_staff" sheetId="4" r:id="rId2"/>
    <sheet name="newzeland" sheetId="3" r:id="rId3"/>
    <sheet name="Data" sheetId="1" r:id="rId4"/>
    <sheet name="India Staff" sheetId="2" r:id="rId5"/>
  </sheets>
  <definedNames>
    <definedName name="_xlnm._FilterDatabase" localSheetId="3" hidden="1">Data!$C$5:$I$105</definedName>
    <definedName name="_xlnm._FilterDatabase" localSheetId="4" hidden="1">'India Staff'!$B$2:$H$114</definedName>
    <definedName name="ExternalData_1" localSheetId="2" hidden="1">newzeland!$A$1:$H$102</definedName>
    <definedName name="ExternalData_2" localSheetId="1" hidden="1">India_staff!$A$1:$H$114</definedName>
    <definedName name="ExternalData_3" localSheetId="0" hidden="1">Master_staff!$A$1:$H$184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5" l="1"/>
  <c r="L9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M6" i="5"/>
  <c r="M5" i="5"/>
  <c r="L6" i="5"/>
  <c r="L5" i="5"/>
  <c r="L4" i="5"/>
  <c r="F106" i="1"/>
  <c r="H106" i="1"/>
  <c r="H115" i="2"/>
  <c r="I106" i="1"/>
  <c r="L7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B263AF-8D90-42BB-920E-9FCE29595BB8}" keepAlive="1" name="Query - India_staff" description="Connection to the 'India_staff' query in the workbook." type="5" refreshedVersion="8" background="1" saveData="1">
    <dbPr connection="Provider=Microsoft.Mashup.OleDb.1;Data Source=$Workbook$;Location=India_staff;Extended Properties=&quot;&quot;" command="SELECT * FROM [India_staff]"/>
  </connection>
  <connection id="2" xr16:uid="{0A86D5CC-CD81-40D3-A0BF-ED2F47966AAB}" keepAlive="1" name="Query - newzeland" description="Connection to the 'newzeland' query in the workbook." type="5" refreshedVersion="8" background="1" saveData="1">
    <dbPr connection="Provider=Microsoft.Mashup.OleDb.1;Data Source=$Workbook$;Location=newzeland;Extended Properties=&quot;&quot;" command="SELECT * FROM [newzeland]"/>
  </connection>
  <connection id="3" xr16:uid="{269570AA-990B-4392-BE28-38C093CE829B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<sst xmlns="http://schemas.openxmlformats.org/spreadsheetml/2006/main" count="2855" uniqueCount="217">
  <si>
    <t>Name</t>
  </si>
  <si>
    <t>Gender</t>
  </si>
  <si>
    <t>Department</t>
  </si>
  <si>
    <t>Age</t>
  </si>
  <si>
    <t>Date Joined</t>
  </si>
  <si>
    <t>Salary</t>
  </si>
  <si>
    <t>Rating</t>
  </si>
  <si>
    <t>Barr Faughny</t>
  </si>
  <si>
    <t>Female</t>
  </si>
  <si>
    <t>Procurement</t>
  </si>
  <si>
    <t>Exceptional</t>
  </si>
  <si>
    <t>Dennison Crosswaite</t>
  </si>
  <si>
    <t>Website</t>
  </si>
  <si>
    <t>Above average</t>
  </si>
  <si>
    <t>Gunar Cockshoot</t>
  </si>
  <si>
    <t>Male</t>
  </si>
  <si>
    <t>Average</t>
  </si>
  <si>
    <t>Wilone O'Kielt</t>
  </si>
  <si>
    <t>Gigi Bohling</t>
  </si>
  <si>
    <t>Sales</t>
  </si>
  <si>
    <t>Curtice Advani</t>
  </si>
  <si>
    <t>Finance</t>
  </si>
  <si>
    <t>Kaine Padly</t>
  </si>
  <si>
    <t>Ches Bonnell</t>
  </si>
  <si>
    <t>Poor</t>
  </si>
  <si>
    <t>Andria Kimpton</t>
  </si>
  <si>
    <t>Brien Boise</t>
  </si>
  <si>
    <t>Husein Augar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</si>
  <si>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</si>
  <si>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</si>
  <si>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</si>
  <si>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</si>
  <si>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</si>
  <si>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</si>
  <si>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</si>
  <si>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Beverie Moffet</t>
  </si>
  <si>
    <t>Oby Sorrel</t>
  </si>
  <si>
    <t>Mallorie Waber</t>
  </si>
  <si>
    <t>Jehu Rudeforth</t>
  </si>
  <si>
    <t>Van Tuxwell</t>
  </si>
  <si>
    <t>Roddy Speechley</t>
  </si>
  <si>
    <t>Camilla Castle</t>
  </si>
  <si>
    <t>Very poor</t>
  </si>
  <si>
    <t>Janene Hairsine</t>
  </si>
  <si>
    <t>Niall Selesnick</t>
  </si>
  <si>
    <t>Ebonee Roxburgh</t>
  </si>
  <si>
    <t>Zach Polon</t>
  </si>
  <si>
    <t>Orton Livick</t>
  </si>
  <si>
    <t>Gray Seamon</t>
  </si>
  <si>
    <t>Benny Karolovsky</t>
  </si>
  <si>
    <t>Dyna Doucette</t>
  </si>
  <si>
    <t>Erin Androsik</t>
  </si>
  <si>
    <t>Madge McCloughen</t>
  </si>
  <si>
    <t>Esmaria Denecamp</t>
  </si>
  <si>
    <t>Hogan Iles</t>
  </si>
  <si>
    <t>Valentia Etteridge</t>
  </si>
  <si>
    <t>HR</t>
  </si>
  <si>
    <t>Archibald Filliskirk</t>
  </si>
  <si>
    <t>Lindy Guillet</t>
  </si>
  <si>
    <t>Dell Molloy</t>
  </si>
  <si>
    <t>Ewart Laphorn</t>
  </si>
  <si>
    <t>Vic Radolf</t>
  </si>
  <si>
    <t>Virginia McConville</t>
  </si>
  <si>
    <t>Kaye Crocroft</t>
  </si>
  <si>
    <t>Mollie Hanway</t>
  </si>
  <si>
    <t>Hoyt D'Alesco</t>
  </si>
  <si>
    <t>Crissie Cordel</t>
  </si>
  <si>
    <t>Myer McCory</t>
  </si>
  <si>
    <t>Enoch Dowrey</t>
  </si>
  <si>
    <t>Kissiah Maydway</t>
  </si>
  <si>
    <t>Ambros Murthwaite</t>
  </si>
  <si>
    <t>Torrance Collier</t>
  </si>
  <si>
    <t>Allene Gobbet</t>
  </si>
  <si>
    <t>Violante Courtonne</t>
  </si>
  <si>
    <t>Merrilee Plenty</t>
  </si>
  <si>
    <t>Tatum Hush</t>
  </si>
  <si>
    <t>Kath Bletsoe</t>
  </si>
  <si>
    <t>Hinda Label</t>
  </si>
  <si>
    <t>Shari McNee</t>
  </si>
  <si>
    <t>My Hanscome</t>
  </si>
  <si>
    <t>Drusy MacCombe</t>
  </si>
  <si>
    <t>Halimeda Kuscha</t>
  </si>
  <si>
    <t>William Reeveley</t>
  </si>
  <si>
    <t>Tracy Renad</t>
  </si>
  <si>
    <t>Kassi Jonson</t>
  </si>
  <si>
    <t>Constantino Espley</t>
  </si>
  <si>
    <t>Gretchen Callow</t>
  </si>
  <si>
    <t>Bev Lashley</t>
  </si>
  <si>
    <t>Sibyl Dunkirk</t>
  </si>
  <si>
    <t>Alta Kaszper</t>
  </si>
  <si>
    <t>Shayne Stegel</t>
  </si>
  <si>
    <t>Hyacinthie Braybrooke</t>
  </si>
  <si>
    <t>Agnes Collicott</t>
  </si>
  <si>
    <t>Teressa Udden</t>
  </si>
  <si>
    <t>Bennie Pepis</t>
  </si>
  <si>
    <t>Elia Cockton</t>
  </si>
  <si>
    <t>Cherlyn Barter</t>
  </si>
  <si>
    <t>Murry Dryburgh</t>
  </si>
  <si>
    <t>Mahalia Larcher</t>
  </si>
  <si>
    <t>Bili Sizey</t>
  </si>
  <si>
    <t>Lilyan Klimpt</t>
  </si>
  <si>
    <t>Caro Chappel</t>
  </si>
  <si>
    <t>Leilah Yesinin</t>
  </si>
  <si>
    <t>Collin Jagson</t>
  </si>
  <si>
    <t>Kellsie Waby</t>
  </si>
  <si>
    <t>Simon Kembery</t>
  </si>
  <si>
    <t>Tawnya Tickel</t>
  </si>
  <si>
    <t>Bernie Gorges</t>
  </si>
  <si>
    <t>Florinda Crace</t>
  </si>
  <si>
    <t>Oran Buxcy</t>
  </si>
  <si>
    <t>Employee Data</t>
  </si>
  <si>
    <t>Nanak Sapna</t>
  </si>
  <si>
    <t>Karuna Pashupathy</t>
  </si>
  <si>
    <t>Amal Nimesh</t>
  </si>
  <si>
    <t>Ramnath Ravuri</t>
  </si>
  <si>
    <t>Yauvani Tarpa</t>
  </si>
  <si>
    <t>Upendra Swati</t>
  </si>
  <si>
    <t>Hridaynath Tendulkar</t>
  </si>
  <si>
    <t>Gangadutt Ragha</t>
  </si>
  <si>
    <t>Rameshwari Chikodi</t>
  </si>
  <si>
    <t>Pratigya Rema</t>
  </si>
  <si>
    <t>Kantimoy Pritish</t>
  </si>
  <si>
    <t>Tarala Vishaal</t>
  </si>
  <si>
    <t>Ardhendu Abhichandra Jayakar</t>
  </si>
  <si>
    <t>Jagajeet Viraj</t>
  </si>
  <si>
    <t>Shattesh Utpat</t>
  </si>
  <si>
    <t>Agrata Rajarama</t>
  </si>
  <si>
    <t>Sawini Chandan</t>
  </si>
  <si>
    <t>Damayanti Thangavadivelu</t>
  </si>
  <si>
    <t>Indu Varada Sumedh</t>
  </si>
  <si>
    <t>Krittika Gaekwad</t>
  </si>
  <si>
    <t>Mardav Ramaswami</t>
  </si>
  <si>
    <t>Lalit Kothari</t>
  </si>
  <si>
    <t>Bhuvan Pals</t>
  </si>
  <si>
    <t>Sarayu Ragunathan</t>
  </si>
  <si>
    <t>Ayog Chakrabarti</t>
  </si>
  <si>
    <t>Shevantilal Muppala</t>
  </si>
  <si>
    <t>Suchira Bhanupriya Tapti</t>
  </si>
  <si>
    <t>Mahindra Sreedharan</t>
  </si>
  <si>
    <t>Chitrasen Laul</t>
  </si>
  <si>
    <t>Akbar Sorabhjee</t>
  </si>
  <si>
    <t>Shulabh Qutub Sundaramoorthy</t>
  </si>
  <si>
    <t>Sahila Chandrasekhar</t>
  </si>
  <si>
    <t>Satyendra Venkatadri</t>
  </si>
  <si>
    <t>Piyali Mahanthapa</t>
  </si>
  <si>
    <t>Rukma Vinita</t>
  </si>
  <si>
    <t>Vanmala Shriharsha</t>
  </si>
  <si>
    <t>Sarojini Naueshwara</t>
  </si>
  <si>
    <t>Kaishori Harathi Kateel</t>
  </si>
  <si>
    <t>Shobhana Samuel</t>
  </si>
  <si>
    <t>Krishnakanta Vellanki</t>
  </si>
  <si>
    <t>Shiuli Sapna</t>
  </si>
  <si>
    <t>Anjushri Chandiramani</t>
  </si>
  <si>
    <t>Fullara Sushanti Mokate</t>
  </si>
  <si>
    <t>Shreela Ramasubraman</t>
  </si>
  <si>
    <t>Gumwant Veera</t>
  </si>
  <si>
    <t>Deepali Charan</t>
  </si>
  <si>
    <t>Geena Raghavanpillai</t>
  </si>
  <si>
    <t>Prerana Nishita</t>
  </si>
  <si>
    <t>Shekhar Eswara</t>
  </si>
  <si>
    <t>Kamalakshi Mukundan</t>
  </si>
  <si>
    <t>Sahas Sanabhi Shrikant</t>
  </si>
  <si>
    <t>Ranajay Kailashnath Richa</t>
  </si>
  <si>
    <t>Sukhdev Nageshwar</t>
  </si>
  <si>
    <t>Rushil Kripa</t>
  </si>
  <si>
    <t>Daruka Ghazali</t>
  </si>
  <si>
    <t>Godavari Veena</t>
  </si>
  <si>
    <t>Anumati Shyamari Meherhomji</t>
  </si>
  <si>
    <t>Abhaya Priyavardhan</t>
  </si>
  <si>
    <t>Purnendu Vijayarangan</t>
  </si>
  <si>
    <t>Sameer Shashank Sapra</t>
  </si>
  <si>
    <t>Asija Pothireddy</t>
  </si>
  <si>
    <t>Rupak Mehra</t>
  </si>
  <si>
    <t>Makshi Vinutha</t>
  </si>
  <si>
    <t>Pragya Nilufar</t>
  </si>
  <si>
    <t>Dhruv Manjunath</t>
  </si>
  <si>
    <t>Yagna Sujeev</t>
  </si>
  <si>
    <t>Mithil Nadkarni</t>
  </si>
  <si>
    <t>Bandhula Sathyanna</t>
  </si>
  <si>
    <t>Shubhra Potla</t>
  </si>
  <si>
    <t>Narois Motiwala</t>
  </si>
  <si>
    <t>Madhumati Gazala Soumitra</t>
  </si>
  <si>
    <t>Sanchali Shirish</t>
  </si>
  <si>
    <t>Chandana Sannidhi Surnilla</t>
  </si>
  <si>
    <t>Devasree Fullara Saurin</t>
  </si>
  <si>
    <t>Kunja Prashanta Vibha</t>
  </si>
  <si>
    <t>Kevalkumar Solanki</t>
  </si>
  <si>
    <t>Kulbhushan Moorthy</t>
  </si>
  <si>
    <t>Hemavati Muthiah</t>
  </si>
  <si>
    <t>Sartaj Probal</t>
  </si>
  <si>
    <t>Jaishree Atasi Yavatkar</t>
  </si>
  <si>
    <t>Ilesh Dasgupta</t>
  </si>
  <si>
    <t>Waheeda Vasuman</t>
  </si>
  <si>
    <t>Vinanti Choudhari</t>
  </si>
  <si>
    <t>Manjusri Ruchi</t>
  </si>
  <si>
    <t>Deepit Ranjana</t>
  </si>
  <si>
    <t>Amlankusum Rajabhushan</t>
  </si>
  <si>
    <t>Udyan Lanka</t>
  </si>
  <si>
    <t>Baruna Ogale</t>
  </si>
  <si>
    <t>Heer Pennathur</t>
  </si>
  <si>
    <t>Vasu Nandin</t>
  </si>
  <si>
    <t>Madhavdas Buhpathi</t>
  </si>
  <si>
    <t>Mirium Seemantini Shivakumar</t>
  </si>
  <si>
    <t>Total</t>
  </si>
  <si>
    <t>country</t>
  </si>
  <si>
    <t>NZ</t>
  </si>
  <si>
    <t>India</t>
  </si>
  <si>
    <t>other</t>
  </si>
  <si>
    <t>AVERAGE SALARY</t>
  </si>
  <si>
    <t>AVERAGE AGE</t>
  </si>
  <si>
    <t>AVERAGE TENURE</t>
  </si>
  <si>
    <t>FEMALE RATIO%</t>
  </si>
  <si>
    <t>COUNT OF EMPLOYEE</t>
  </si>
  <si>
    <t>TENURE</t>
  </si>
  <si>
    <t>FEMALE COUNT</t>
  </si>
  <si>
    <t>RATIO%</t>
  </si>
  <si>
    <t>SALARAY&gt;$90000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</si>
</sst>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5" fontId="0" fillId="0" borderId="0" xfId="0" applyNumberFormat="1"/>
    <xf numFmtId="0" fontId="0" fillId="0" borderId="1" xfId="0" applyBorder="1"/>
    <xf numFmtId="15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0" fontId="0" fillId="0" borderId="9" xfId="0" applyBorder="1"/>
    <xf numFmtId="8" fontId="0" fillId="0" borderId="0" xfId="0" applyNumberFormat="1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5">
    <dxf>
      <numFmt numFmtId="12" formatCode="&quot;$&quot;#,##0.00_);[Red]\(&quot;$&quot;#,##0.00\)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6k28jhclwI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chandoo.org/wp/excel-school-program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149958</xdr:rowOff>
    </xdr:from>
    <xdr:to>
      <xdr:col>16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16</xdr:col>
      <xdr:colOff>6350</xdr:colOff>
      <xdr:row>11</xdr:row>
      <xdr:rowOff>41055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E6FE93-84F3-45D7-B277-295969E5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1238250"/>
          <a:ext cx="2444750" cy="13745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12</xdr:col>
      <xdr:colOff>548508</xdr:colOff>
      <xdr:row>10</xdr:row>
      <xdr:rowOff>124811</xdr:rowOff>
    </xdr:from>
    <xdr:to>
      <xdr:col>15</xdr:col>
      <xdr:colOff>67167</xdr:colOff>
      <xdr:row>12</xdr:row>
      <xdr:rowOff>19707</xdr:rowOff>
    </xdr:to>
    <xdr:sp macro="" textlink="">
      <xdr:nvSpPr>
        <xdr:cNvPr id="3" name="Rectangle: Rounded Corner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0C10A5-873E-49A5-819F-85042883FE66}"/>
            </a:ext>
          </a:extLst>
        </xdr:cNvPr>
        <xdr:cNvSpPr/>
      </xdr:nvSpPr>
      <xdr:spPr>
        <a:xfrm>
          <a:off x="7073133" y="2506061"/>
          <a:ext cx="1347459" cy="27589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Roboto" panose="02000000000000000000" pitchFamily="2" charset="0"/>
              <a:ea typeface="Roboto" panose="02000000000000000000" pitchFamily="2" charset="0"/>
            </a:rPr>
            <a:t>Watch the video</a:t>
          </a:r>
        </a:p>
      </xdr:txBody>
    </xdr:sp>
    <xdr:clientData/>
  </xdr:twoCellAnchor>
  <xdr:twoCellAnchor editAs="oneCell">
    <xdr:from>
      <xdr:col>12</xdr:col>
      <xdr:colOff>0</xdr:colOff>
      <xdr:row>13</xdr:row>
      <xdr:rowOff>0</xdr:rowOff>
    </xdr:from>
    <xdr:to>
      <xdr:col>16</xdr:col>
      <xdr:colOff>19488</xdr:colOff>
      <xdr:row>25</xdr:row>
      <xdr:rowOff>170793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6909BE-7360-4913-9D8E-2CCF6029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2952750"/>
          <a:ext cx="2457888" cy="245679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7B20FC9-DCA3-4025-A150-ACA88479616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ame" tableColumnId="1"/>
      <queryTableField id="2" name="Gender" tableColumnId="2"/>
      <queryTableField id="3" name="Age" tableColumnId="3"/>
      <queryTableField id="4" name="Rating" tableColumnId="4"/>
      <queryTableField id="5" name="Date Joined" tableColumnId="5"/>
      <queryTableField id="6" name="Department" tableColumnId="6"/>
      <queryTableField id="7" name="Salary" tableColumnId="7"/>
      <queryTableField id="8" name="country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DDA9EB1-8531-421B-8EFB-3E24AD222C44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Gender" tableColumnId="2"/>
      <queryTableField id="3" name="Age" tableColumnId="3"/>
      <queryTableField id="4" name="Rating" tableColumnId="4"/>
      <queryTableField id="5" name="Date Joined" tableColumnId="5"/>
      <queryTableField id="6" name="Department" tableColumnId="6"/>
      <queryTableField id="7" name="Salary" tableColumnId="7"/>
      <queryTableField id="8" name="countr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F5521C-75F1-4627-9A94-922EFEF57DD4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Gender" tableColumnId="2"/>
      <queryTableField id="3" name="Department" tableColumnId="3"/>
      <queryTableField id="4" name="Age" tableColumnId="4"/>
      <queryTableField id="5" name="Date Joined" tableColumnId="5"/>
      <queryTableField id="6" name="Salary" tableColumnId="6"/>
      <queryTableField id="7" name="Rating" tableColumnId="7"/>
      <queryTableField id="8" name="count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A6B550-2F62-41AF-9860-1987060E4005}" name="staff" displayName="staff" ref="A1:I184" tableType="queryTable" totalsRowShown="0">
  <autoFilter ref="A1:I184" xr:uid="{B6A6B550-2F62-41AF-9860-1987060E4005}"/>
  <tableColumns count="9">
    <tableColumn id="1" xr3:uid="{2E13065D-0C78-4B9B-89AF-D6C96F2DCAA7}" uniqueName="1" name="Name" queryTableFieldId="1" dataDxfId="5"/>
    <tableColumn id="2" xr3:uid="{419873C1-3CCD-4BAE-883D-9FA0CA38812E}" uniqueName="2" name="Gender" queryTableFieldId="2" dataDxfId="4"/>
    <tableColumn id="3" xr3:uid="{D43ECD2E-3BAA-4A1A-8AF2-A8A885C2C12E}" uniqueName="3" name="Age" queryTableFieldId="3"/>
    <tableColumn id="4" xr3:uid="{D8DE814B-1B06-4056-83E5-FECBC825C4C5}" uniqueName="4" name="Rating" queryTableFieldId="4"/>
    <tableColumn id="5" xr3:uid="{16F66E96-A30E-432C-9E59-060298445A63}" uniqueName="5" name="Date Joined" queryTableFieldId="5" dataDxfId="3"/>
    <tableColumn id="6" xr3:uid="{D4188C98-64BE-418E-ABD2-D68D9D63E4A6}" uniqueName="6" name="Department" queryTableFieldId="6" dataDxfId="1"/>
    <tableColumn id="7" xr3:uid="{7E16DD2D-EBBE-4885-9081-51E1A4525434}" uniqueName="7" name="Salary" queryTableFieldId="7" dataDxfId="0"/>
    <tableColumn id="8" xr3:uid="{2A3728DA-7446-40C6-8949-2849D28D5060}" uniqueName="8" name="country" queryTableFieldId="8"/>
    <tableColumn id="9" xr3:uid="{0D14026A-7EC8-47AC-9AF9-B774A6CE0971}" uniqueName="9" name="TENURE" queryTableFieldId="9" dataDxfId="2">
      <calculatedColumnFormula>(TODAY()-staff[[#This Row],[Date Joined]])/365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E0CDCF-8E36-4E9C-9A0D-0892E16DC35A}" name="India_staff_1" displayName="India_staff_1" ref="A1:H114" tableType="queryTable" totalsRowShown="0">
  <autoFilter ref="A1:H114" xr:uid="{06E0CDCF-8E36-4E9C-9A0D-0892E16DC35A}"/>
  <tableColumns count="8">
    <tableColumn id="1" xr3:uid="{483F550E-7782-4DC9-993D-499CEC8F4247}" uniqueName="1" name="Name" queryTableFieldId="1" dataDxfId="9"/>
    <tableColumn id="2" xr3:uid="{D14B3A99-DA9B-4394-86E4-EC580A8C6814}" uniqueName="2" name="Gender" queryTableFieldId="2" dataDxfId="8"/>
    <tableColumn id="3" xr3:uid="{E3388326-7801-4FC5-A30C-8A7F4BBD57B8}" uniqueName="3" name="Age" queryTableFieldId="3"/>
    <tableColumn id="4" xr3:uid="{202544E3-D3C1-4417-9A2B-42EF34A9CB71}" uniqueName="4" name="Rating" queryTableFieldId="4"/>
    <tableColumn id="5" xr3:uid="{7576A8DE-DA3D-4BD1-B2EA-E4E562AF0EFC}" uniqueName="5" name="Date Joined" queryTableFieldId="5" dataDxfId="7"/>
    <tableColumn id="6" xr3:uid="{DAB9F0C4-F51C-4CEE-8E9B-79B20EBB76C1}" uniqueName="6" name="Department" queryTableFieldId="6" dataDxfId="6"/>
    <tableColumn id="7" xr3:uid="{F5B8015E-8B97-44C4-AAE3-571016BEB05B}" uniqueName="7" name="Salary" queryTableFieldId="7"/>
    <tableColumn id="8" xr3:uid="{89B65111-FF20-491F-B27C-AF6D9A23EE30}" uniqueName="8" name="country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D51E18-EBEC-409E-9136-26C7E168632C}" name="newzeland_1" displayName="newzeland_1" ref="A1:H102" tableType="queryTable" totalsRowShown="0">
  <autoFilter ref="A1:H102" xr:uid="{B2D51E18-EBEC-409E-9136-26C7E168632C}"/>
  <tableColumns count="8">
    <tableColumn id="1" xr3:uid="{11EC2118-1559-4182-A5D6-B9E78E316549}" uniqueName="1" name="Name" queryTableFieldId="1" dataDxfId="13"/>
    <tableColumn id="2" xr3:uid="{DAC07647-E56C-4B8D-9693-153E0EF3F3CF}" uniqueName="2" name="Gender" queryTableFieldId="2" dataDxfId="12"/>
    <tableColumn id="3" xr3:uid="{125A849E-1636-4F35-A330-3591C23BF567}" uniqueName="3" name="Department" queryTableFieldId="3" dataDxfId="11"/>
    <tableColumn id="4" xr3:uid="{51C7EF3D-2F9A-4D06-A43E-EBF2FA12ECDC}" uniqueName="4" name="Age" queryTableFieldId="4"/>
    <tableColumn id="5" xr3:uid="{16CEB16B-241E-4E08-A656-70756E55F6DD}" uniqueName="5" name="Date Joined" queryTableFieldId="5" dataDxfId="10"/>
    <tableColumn id="6" xr3:uid="{2AF9F91B-04DF-4CB6-9249-5269AC3DB706}" uniqueName="6" name="Salary" queryTableFieldId="6"/>
    <tableColumn id="7" xr3:uid="{9B968BDB-9282-424B-B255-A3F6D5203B01}" uniqueName="7" name="Rating" queryTableFieldId="7"/>
    <tableColumn id="8" xr3:uid="{4079E4EC-C2A1-4BAC-A2C2-135B2F3538E7}" uniqueName="8" name="country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74D10-5AF6-472B-AF92-34780AB654A6}" name="newzeland" displayName="newzeland" ref="C5:I106" totalsRowCount="1">
  <autoFilter ref="C5:I105" xr:uid="{12E74D10-5AF6-472B-AF92-34780AB654A6}"/>
  <tableColumns count="7">
    <tableColumn id="1" xr3:uid="{533389E0-679E-49A0-9503-186A5E79ADD6}" name="Name" totalsRowLabel="Total"/>
    <tableColumn id="2" xr3:uid="{6D8C0FA7-BA43-4DB4-8F9B-D0E922914A22}" name="Gender"/>
    <tableColumn id="3" xr3:uid="{9D8C3765-E219-45AE-B967-96CC632B6FCE}" name="Department"/>
    <tableColumn id="4" xr3:uid="{9EA93D31-BFCB-442C-BBAC-07330F9C649C}" name="Age" totalsRowFunction="average"/>
    <tableColumn id="5" xr3:uid="{87F43EEF-225B-4D33-9E1A-0D7A1501FE1F}" name="Date Joined"/>
    <tableColumn id="6" xr3:uid="{38419F55-E593-4328-B5A2-A16B6844C911}" name="Salary" totalsRowFunction="average" dataDxfId="16" totalsRowDxfId="15"/>
    <tableColumn id="7" xr3:uid="{7647008B-C8CE-4DCB-83EC-8724DEAF3974}" name="Rating" totalsRowFunction="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895A4-CDDA-4E04-92D3-AB62126432D0}" name="India_staff" displayName="India_staff" ref="B2:H115" totalsRowCount="1" headerRowDxfId="24" headerRowBorderDxfId="33" tableBorderDxfId="34" totalsRowBorderDxfId="32">
  <autoFilter ref="B2:H114" xr:uid="{343895A4-CDDA-4E04-92D3-AB62126432D0}"/>
  <tableColumns count="7">
    <tableColumn id="1" xr3:uid="{693A668C-22BA-467B-BDC1-1D908F4D8279}" name="Name" totalsRowLabel="Total" dataDxfId="31" totalsRowDxfId="23"/>
    <tableColumn id="2" xr3:uid="{9A96135D-CA1D-447D-BE8A-41DFD982D185}" name="Gender" dataDxfId="30" totalsRowDxfId="22"/>
    <tableColumn id="3" xr3:uid="{4642D281-65AC-45A4-BEA8-BFDAC97ED0CA}" name="Age" dataDxfId="29" totalsRowDxfId="21"/>
    <tableColumn id="4" xr3:uid="{5CB928EE-1FA3-4EC9-A5BA-85D7CD542D74}" name="Rating" dataDxfId="28" totalsRowDxfId="20"/>
    <tableColumn id="5" xr3:uid="{771E22D2-F935-40FF-8947-5B157AF799A7}" name="Date Joined" dataDxfId="27" totalsRowDxfId="19"/>
    <tableColumn id="6" xr3:uid="{3B924498-E53B-4BC0-AE75-17487C9EA0EC}" name="Department" dataDxfId="26" totalsRowDxfId="18"/>
    <tableColumn id="7" xr3:uid="{FBDA5867-C7CE-4FA0-A09B-2AA6705FEF5B}" name="Salary" totalsRowFunction="count" dataDxfId="25" totalsRowDxfId="17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87F1-D874-4BD8-AD65-4007462193FD}">
  <dimension ref="A1:M184"/>
  <sheetViews>
    <sheetView tabSelected="1" topLeftCell="A5" workbookViewId="0">
      <selection activeCell="L11" sqref="L11"/>
    </sheetView>
  </sheetViews>
  <sheetFormatPr defaultRowHeight="14.4" x14ac:dyDescent="0.3"/>
  <cols>
    <col min="1" max="1" width="27.21875" bestFit="1" customWidth="1"/>
    <col min="2" max="2" width="9.33203125" bestFit="1" customWidth="1"/>
    <col min="3" max="3" width="6.44140625" bestFit="1" customWidth="1"/>
    <col min="4" max="4" width="13.109375" bestFit="1" customWidth="1"/>
    <col min="5" max="5" width="13" bestFit="1" customWidth="1"/>
    <col min="6" max="6" width="13.33203125" bestFit="1" customWidth="1"/>
    <col min="7" max="7" width="11.5546875" bestFit="1" customWidth="1"/>
    <col min="8" max="8" width="9.77734375" bestFit="1" customWidth="1"/>
    <col min="9" max="9" width="10.5546875" bestFit="1" customWidth="1"/>
    <col min="11" max="11" width="19.33203125" bestFit="1" customWidth="1"/>
    <col min="12" max="13" width="10.5546875" bestFit="1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6</v>
      </c>
      <c r="E1" t="s">
        <v>4</v>
      </c>
      <c r="F1" t="s">
        <v>2</v>
      </c>
      <c r="G1" t="s">
        <v>5</v>
      </c>
      <c r="H1" t="s">
        <v>204</v>
      </c>
      <c r="I1" t="s">
        <v>213</v>
      </c>
    </row>
    <row r="2" spans="1:13" x14ac:dyDescent="0.3">
      <c r="A2" s="17" t="s">
        <v>156</v>
      </c>
      <c r="B2" s="17" t="s">
        <v>15</v>
      </c>
      <c r="C2">
        <v>20</v>
      </c>
      <c r="D2" t="s">
        <v>16</v>
      </c>
      <c r="E2" s="19">
        <v>44122</v>
      </c>
      <c r="F2" s="17" t="s">
        <v>12</v>
      </c>
      <c r="G2" s="16">
        <v>112650</v>
      </c>
      <c r="H2" t="s">
        <v>206</v>
      </c>
      <c r="I2" s="17">
        <f ca="1">(TODAY()-staff[[#This Row],[Date Joined]])/365</f>
        <v>5.2082191780821914</v>
      </c>
    </row>
    <row r="3" spans="1:13" x14ac:dyDescent="0.3">
      <c r="A3" s="17" t="s">
        <v>176</v>
      </c>
      <c r="B3" s="17" t="s">
        <v>8</v>
      </c>
      <c r="C3">
        <v>32</v>
      </c>
      <c r="D3" t="s">
        <v>13</v>
      </c>
      <c r="E3" s="19">
        <v>44293</v>
      </c>
      <c r="F3" s="17" t="s">
        <v>12</v>
      </c>
      <c r="G3" s="16">
        <v>43840</v>
      </c>
      <c r="H3" t="s">
        <v>206</v>
      </c>
      <c r="I3" s="17">
        <f ca="1">(TODAY()-staff[[#This Row],[Date Joined]])/365</f>
        <v>4.7397260273972606</v>
      </c>
    </row>
    <row r="4" spans="1:13" x14ac:dyDescent="0.3">
      <c r="A4" s="17" t="s">
        <v>143</v>
      </c>
      <c r="B4" s="17" t="s">
        <v>15</v>
      </c>
      <c r="C4">
        <v>31</v>
      </c>
      <c r="D4" t="s">
        <v>16</v>
      </c>
      <c r="E4" s="19">
        <v>44663</v>
      </c>
      <c r="F4" s="17" t="s">
        <v>9</v>
      </c>
      <c r="G4" s="16">
        <v>103550</v>
      </c>
      <c r="H4" t="s">
        <v>206</v>
      </c>
      <c r="I4" s="17">
        <f ca="1">(TODAY()-staff[[#This Row],[Date Joined]])/365</f>
        <v>3.7260273972602738</v>
      </c>
      <c r="K4" t="s">
        <v>212</v>
      </c>
      <c r="L4">
        <f>COUNTA(staff[Name])</f>
        <v>183</v>
      </c>
    </row>
    <row r="5" spans="1:13" x14ac:dyDescent="0.3">
      <c r="A5" s="17" t="s">
        <v>201</v>
      </c>
      <c r="B5" s="17" t="s">
        <v>8</v>
      </c>
      <c r="C5">
        <v>32</v>
      </c>
      <c r="D5" t="s">
        <v>16</v>
      </c>
      <c r="E5" s="19">
        <v>44339</v>
      </c>
      <c r="F5" s="17" t="s">
        <v>56</v>
      </c>
      <c r="G5" s="16">
        <v>45510</v>
      </c>
      <c r="H5" t="s">
        <v>206</v>
      </c>
      <c r="I5" s="17">
        <f ca="1">(TODAY()-staff[[#This Row],[Date Joined]])/365</f>
        <v>4.6136986301369864</v>
      </c>
      <c r="K5" t="s">
        <v>208</v>
      </c>
      <c r="L5" s="16">
        <f>AVERAGE(staff[Salary])</f>
        <v>77173.715846994543</v>
      </c>
      <c r="M5" s="16">
        <f>MEDIAN(staff[Salary])</f>
        <v>75000</v>
      </c>
    </row>
    <row r="6" spans="1:13" x14ac:dyDescent="0.3">
      <c r="A6" s="17" t="s">
        <v>142</v>
      </c>
      <c r="B6" s="17" t="s">
        <v>207</v>
      </c>
      <c r="C6">
        <v>37</v>
      </c>
      <c r="D6" t="s">
        <v>24</v>
      </c>
      <c r="E6" s="19">
        <v>44085</v>
      </c>
      <c r="F6" s="17" t="s">
        <v>21</v>
      </c>
      <c r="G6" s="16">
        <v>115440</v>
      </c>
      <c r="H6" t="s">
        <v>206</v>
      </c>
      <c r="I6" s="17">
        <f ca="1">(TODAY()-staff[[#This Row],[Date Joined]])/365</f>
        <v>5.3095890410958901</v>
      </c>
      <c r="K6" t="s">
        <v>209</v>
      </c>
      <c r="L6">
        <f>AVERAGE(staff[Age])</f>
        <v>30.42622950819672</v>
      </c>
      <c r="M6">
        <f>MEDIAN(staff[Age])</f>
        <v>30</v>
      </c>
    </row>
    <row r="7" spans="1:13" x14ac:dyDescent="0.3">
      <c r="A7" s="17" t="s">
        <v>202</v>
      </c>
      <c r="B7" s="17" t="s">
        <v>8</v>
      </c>
      <c r="C7">
        <v>38</v>
      </c>
      <c r="D7" t="s">
        <v>13</v>
      </c>
      <c r="E7" s="19">
        <v>44268</v>
      </c>
      <c r="F7" s="17" t="s">
        <v>19</v>
      </c>
      <c r="G7" s="16">
        <v>56870</v>
      </c>
      <c r="H7" t="s">
        <v>206</v>
      </c>
      <c r="I7" s="17">
        <f ca="1">(TODAY()-staff[[#This Row],[Date Joined]])/365</f>
        <v>4.8082191780821919</v>
      </c>
      <c r="K7" t="s">
        <v>210</v>
      </c>
      <c r="L7">
        <f ca="1">AVERAGE(staff[TENURE])</f>
        <v>4.3560745564787782</v>
      </c>
    </row>
    <row r="8" spans="1:13" x14ac:dyDescent="0.3">
      <c r="A8" s="17" t="s">
        <v>169</v>
      </c>
      <c r="B8" s="17" t="s">
        <v>8</v>
      </c>
      <c r="C8">
        <v>25</v>
      </c>
      <c r="D8" t="s">
        <v>16</v>
      </c>
      <c r="E8" s="19">
        <v>44144</v>
      </c>
      <c r="F8" s="17" t="s">
        <v>19</v>
      </c>
      <c r="G8" s="16">
        <v>92700</v>
      </c>
      <c r="H8" t="s">
        <v>206</v>
      </c>
      <c r="I8" s="17">
        <f ca="1">(TODAY()-staff[[#This Row],[Date Joined]])/365</f>
        <v>5.1479452054794521</v>
      </c>
      <c r="K8" t="s">
        <v>211</v>
      </c>
    </row>
    <row r="9" spans="1:13" x14ac:dyDescent="0.3">
      <c r="A9" s="17" t="s">
        <v>145</v>
      </c>
      <c r="B9" s="17" t="s">
        <v>207</v>
      </c>
      <c r="C9">
        <v>32</v>
      </c>
      <c r="D9" t="s">
        <v>16</v>
      </c>
      <c r="E9" s="19">
        <v>44713</v>
      </c>
      <c r="F9" s="17" t="s">
        <v>12</v>
      </c>
      <c r="G9" s="16">
        <v>91310</v>
      </c>
      <c r="H9" t="s">
        <v>206</v>
      </c>
      <c r="I9" s="17">
        <f ca="1">(TODAY()-staff[[#This Row],[Date Joined]])/365</f>
        <v>3.5890410958904111</v>
      </c>
      <c r="K9" t="s">
        <v>214</v>
      </c>
      <c r="L9">
        <f>COUNTIFS(staff[Gender],"FEMALE")</f>
        <v>86</v>
      </c>
    </row>
    <row r="10" spans="1:13" x14ac:dyDescent="0.3">
      <c r="A10" s="17" t="s">
        <v>115</v>
      </c>
      <c r="B10" s="17" t="s">
        <v>15</v>
      </c>
      <c r="C10">
        <v>33</v>
      </c>
      <c r="D10" t="s">
        <v>16</v>
      </c>
      <c r="E10" s="19">
        <v>44324</v>
      </c>
      <c r="F10" s="17" t="s">
        <v>19</v>
      </c>
      <c r="G10" s="16">
        <v>74550</v>
      </c>
      <c r="H10" t="s">
        <v>206</v>
      </c>
      <c r="I10" s="17">
        <f ca="1">(TODAY()-staff[[#This Row],[Date Joined]])/365</f>
        <v>4.6547945205479451</v>
      </c>
      <c r="K10" t="s">
        <v>215</v>
      </c>
      <c r="L10" s="20">
        <f>L9/L4</f>
        <v>0.46994535519125685</v>
      </c>
    </row>
    <row r="11" spans="1:13" x14ac:dyDescent="0.3">
      <c r="A11" s="17" t="s">
        <v>128</v>
      </c>
      <c r="B11" s="17" t="s">
        <v>15</v>
      </c>
      <c r="C11">
        <v>25</v>
      </c>
      <c r="D11" t="s">
        <v>13</v>
      </c>
      <c r="E11" s="19">
        <v>44665</v>
      </c>
      <c r="F11" s="17" t="s">
        <v>9</v>
      </c>
      <c r="G11" s="16">
        <v>109190</v>
      </c>
      <c r="H11" t="s">
        <v>206</v>
      </c>
      <c r="I11" s="17">
        <f ca="1">(TODAY()-staff[[#This Row],[Date Joined]])/365</f>
        <v>3.7205479452054795</v>
      </c>
    </row>
    <row r="12" spans="1:13" x14ac:dyDescent="0.3">
      <c r="A12" s="17" t="s">
        <v>194</v>
      </c>
      <c r="B12" s="17" t="s">
        <v>8</v>
      </c>
      <c r="C12">
        <v>40</v>
      </c>
      <c r="D12" t="s">
        <v>16</v>
      </c>
      <c r="E12" s="19">
        <v>44320</v>
      </c>
      <c r="F12" s="17" t="s">
        <v>12</v>
      </c>
      <c r="G12" s="16">
        <v>104410</v>
      </c>
      <c r="H12" t="s">
        <v>206</v>
      </c>
      <c r="I12" s="17">
        <f ca="1">(TODAY()-staff[[#This Row],[Date Joined]])/365</f>
        <v>4.6657534246575345</v>
      </c>
      <c r="K12" t="s">
        <v>216</v>
      </c>
    </row>
    <row r="13" spans="1:13" x14ac:dyDescent="0.3">
      <c r="A13" s="17" t="s">
        <v>177</v>
      </c>
      <c r="B13" s="17" t="s">
        <v>15</v>
      </c>
      <c r="C13">
        <v>30</v>
      </c>
      <c r="D13" t="s">
        <v>16</v>
      </c>
      <c r="E13" s="19">
        <v>44544</v>
      </c>
      <c r="F13" s="17" t="s">
        <v>21</v>
      </c>
      <c r="G13" s="16">
        <v>96800</v>
      </c>
      <c r="H13" t="s">
        <v>206</v>
      </c>
      <c r="I13" s="17">
        <f ca="1">(TODAY()-staff[[#This Row],[Date Joined]])/365</f>
        <v>4.0520547945205481</v>
      </c>
    </row>
    <row r="14" spans="1:13" x14ac:dyDescent="0.3">
      <c r="A14" s="17" t="s">
        <v>123</v>
      </c>
      <c r="B14" s="17" t="s">
        <v>15</v>
      </c>
      <c r="C14">
        <v>28</v>
      </c>
      <c r="D14" t="s">
        <v>13</v>
      </c>
      <c r="E14" s="19">
        <v>43980</v>
      </c>
      <c r="F14" s="17" t="s">
        <v>21</v>
      </c>
      <c r="G14" s="16">
        <v>48170</v>
      </c>
      <c r="H14" t="s">
        <v>206</v>
      </c>
      <c r="I14" s="17">
        <f ca="1">(TODAY()-staff[[#This Row],[Date Joined]])/365</f>
        <v>5.5972602739726032</v>
      </c>
    </row>
    <row r="15" spans="1:13" x14ac:dyDescent="0.3">
      <c r="A15" s="17" t="s">
        <v>140</v>
      </c>
      <c r="B15" s="17" t="s">
        <v>15</v>
      </c>
      <c r="C15">
        <v>21</v>
      </c>
      <c r="D15" t="s">
        <v>16</v>
      </c>
      <c r="E15" s="19">
        <v>44042</v>
      </c>
      <c r="F15" s="17" t="s">
        <v>9</v>
      </c>
      <c r="G15" s="16">
        <v>37920</v>
      </c>
      <c r="H15" t="s">
        <v>206</v>
      </c>
      <c r="I15" s="17">
        <f ca="1">(TODAY()-staff[[#This Row],[Date Joined]])/365</f>
        <v>5.4273972602739722</v>
      </c>
    </row>
    <row r="16" spans="1:13" x14ac:dyDescent="0.3">
      <c r="A16" s="17" t="s">
        <v>178</v>
      </c>
      <c r="B16" s="17" t="s">
        <v>15</v>
      </c>
      <c r="C16">
        <v>34</v>
      </c>
      <c r="D16" t="s">
        <v>16</v>
      </c>
      <c r="E16" s="19">
        <v>44642</v>
      </c>
      <c r="F16" s="17" t="s">
        <v>9</v>
      </c>
      <c r="G16" s="16">
        <v>112650</v>
      </c>
      <c r="H16" t="s">
        <v>206</v>
      </c>
      <c r="I16" s="17">
        <f ca="1">(TODAY()-staff[[#This Row],[Date Joined]])/365</f>
        <v>3.7835616438356166</v>
      </c>
    </row>
    <row r="17" spans="1:9" x14ac:dyDescent="0.3">
      <c r="A17" s="17" t="s">
        <v>165</v>
      </c>
      <c r="B17" s="17" t="s">
        <v>8</v>
      </c>
      <c r="C17">
        <v>34</v>
      </c>
      <c r="D17" t="s">
        <v>24</v>
      </c>
      <c r="E17" s="19">
        <v>44660</v>
      </c>
      <c r="F17" s="17" t="s">
        <v>19</v>
      </c>
      <c r="G17" s="16">
        <v>49630</v>
      </c>
      <c r="H17" t="s">
        <v>206</v>
      </c>
      <c r="I17" s="17">
        <f ca="1">(TODAY()-staff[[#This Row],[Date Joined]])/365</f>
        <v>3.7342465753424658</v>
      </c>
    </row>
    <row r="18" spans="1:9" x14ac:dyDescent="0.3">
      <c r="A18" s="17" t="s">
        <v>199</v>
      </c>
      <c r="B18" s="17" t="s">
        <v>15</v>
      </c>
      <c r="C18">
        <v>36</v>
      </c>
      <c r="D18" t="s">
        <v>16</v>
      </c>
      <c r="E18" s="19">
        <v>43958</v>
      </c>
      <c r="F18" s="17" t="s">
        <v>12</v>
      </c>
      <c r="G18" s="16">
        <v>118840</v>
      </c>
      <c r="H18" t="s">
        <v>206</v>
      </c>
      <c r="I18" s="17">
        <f ca="1">(TODAY()-staff[[#This Row],[Date Joined]])/365</f>
        <v>5.6575342465753424</v>
      </c>
    </row>
    <row r="19" spans="1:9" x14ac:dyDescent="0.3">
      <c r="A19" s="17" t="s">
        <v>159</v>
      </c>
      <c r="B19" s="17" t="s">
        <v>15</v>
      </c>
      <c r="C19">
        <v>30</v>
      </c>
      <c r="D19" t="s">
        <v>16</v>
      </c>
      <c r="E19" s="19">
        <v>44789</v>
      </c>
      <c r="F19" s="17" t="s">
        <v>12</v>
      </c>
      <c r="G19" s="16">
        <v>69710</v>
      </c>
      <c r="H19" t="s">
        <v>206</v>
      </c>
      <c r="I19" s="17">
        <f ca="1">(TODAY()-staff[[#This Row],[Date Joined]])/365</f>
        <v>3.3808219178082193</v>
      </c>
    </row>
    <row r="20" spans="1:9" x14ac:dyDescent="0.3">
      <c r="A20" s="17" t="s">
        <v>197</v>
      </c>
      <c r="B20" s="17" t="s">
        <v>15</v>
      </c>
      <c r="C20">
        <v>20</v>
      </c>
      <c r="D20" t="s">
        <v>16</v>
      </c>
      <c r="E20" s="19">
        <v>44683</v>
      </c>
      <c r="F20" s="17" t="s">
        <v>9</v>
      </c>
      <c r="G20" s="16">
        <v>79570</v>
      </c>
      <c r="H20" t="s">
        <v>206</v>
      </c>
      <c r="I20" s="17">
        <f ca="1">(TODAY()-staff[[#This Row],[Date Joined]])/365</f>
        <v>3.6712328767123288</v>
      </c>
    </row>
    <row r="21" spans="1:9" x14ac:dyDescent="0.3">
      <c r="A21" s="17" t="s">
        <v>154</v>
      </c>
      <c r="B21" s="17" t="s">
        <v>8</v>
      </c>
      <c r="C21">
        <v>22</v>
      </c>
      <c r="D21" t="s">
        <v>13</v>
      </c>
      <c r="E21" s="19">
        <v>44388</v>
      </c>
      <c r="F21" s="17" t="s">
        <v>9</v>
      </c>
      <c r="G21" s="16">
        <v>76900</v>
      </c>
      <c r="H21" t="s">
        <v>206</v>
      </c>
      <c r="I21" s="17">
        <f ca="1">(TODAY()-staff[[#This Row],[Date Joined]])/365</f>
        <v>4.4794520547945202</v>
      </c>
    </row>
    <row r="22" spans="1:9" x14ac:dyDescent="0.3">
      <c r="A22" s="17" t="s">
        <v>182</v>
      </c>
      <c r="B22" s="17" t="s">
        <v>15</v>
      </c>
      <c r="C22">
        <v>27</v>
      </c>
      <c r="D22" t="s">
        <v>16</v>
      </c>
      <c r="E22" s="19">
        <v>44073</v>
      </c>
      <c r="F22" s="17" t="s">
        <v>19</v>
      </c>
      <c r="G22" s="16">
        <v>54970</v>
      </c>
      <c r="H22" t="s">
        <v>206</v>
      </c>
      <c r="I22" s="17">
        <f ca="1">(TODAY()-staff[[#This Row],[Date Joined]])/365</f>
        <v>5.3424657534246576</v>
      </c>
    </row>
    <row r="23" spans="1:9" x14ac:dyDescent="0.3">
      <c r="A23" s="17" t="s">
        <v>118</v>
      </c>
      <c r="B23" s="17" t="s">
        <v>15</v>
      </c>
      <c r="C23">
        <v>37</v>
      </c>
      <c r="D23" t="s">
        <v>24</v>
      </c>
      <c r="E23" s="19">
        <v>44277</v>
      </c>
      <c r="F23" s="17" t="s">
        <v>12</v>
      </c>
      <c r="G23" s="16">
        <v>88050</v>
      </c>
      <c r="H23" t="s">
        <v>206</v>
      </c>
      <c r="I23" s="17">
        <f ca="1">(TODAY()-staff[[#This Row],[Date Joined]])/365</f>
        <v>4.7835616438356166</v>
      </c>
    </row>
    <row r="24" spans="1:9" x14ac:dyDescent="0.3">
      <c r="A24" s="17" t="s">
        <v>192</v>
      </c>
      <c r="B24" s="17" t="s">
        <v>15</v>
      </c>
      <c r="C24">
        <v>43</v>
      </c>
      <c r="D24" t="s">
        <v>16</v>
      </c>
      <c r="E24" s="19">
        <v>44558</v>
      </c>
      <c r="F24" s="17" t="s">
        <v>19</v>
      </c>
      <c r="G24" s="16">
        <v>36040</v>
      </c>
      <c r="H24" t="s">
        <v>206</v>
      </c>
      <c r="I24" s="17">
        <f ca="1">(TODAY()-staff[[#This Row],[Date Joined]])/365</f>
        <v>4.0136986301369859</v>
      </c>
    </row>
    <row r="25" spans="1:9" x14ac:dyDescent="0.3">
      <c r="A25" s="17" t="s">
        <v>111</v>
      </c>
      <c r="B25" s="17" t="s">
        <v>8</v>
      </c>
      <c r="C25">
        <v>42</v>
      </c>
      <c r="D25" t="s">
        <v>10</v>
      </c>
      <c r="E25" s="19">
        <v>44718</v>
      </c>
      <c r="F25" s="17" t="s">
        <v>9</v>
      </c>
      <c r="G25" s="16">
        <v>75000</v>
      </c>
      <c r="H25" t="s">
        <v>206</v>
      </c>
      <c r="I25" s="17">
        <f ca="1">(TODAY()-staff[[#This Row],[Date Joined]])/365</f>
        <v>3.5753424657534247</v>
      </c>
    </row>
    <row r="26" spans="1:9" x14ac:dyDescent="0.3">
      <c r="A26" s="17" t="s">
        <v>149</v>
      </c>
      <c r="B26" s="17" t="s">
        <v>15</v>
      </c>
      <c r="C26">
        <v>35</v>
      </c>
      <c r="D26" t="s">
        <v>16</v>
      </c>
      <c r="E26" s="19">
        <v>44666</v>
      </c>
      <c r="F26" s="17" t="s">
        <v>9</v>
      </c>
      <c r="G26" s="16">
        <v>40400</v>
      </c>
      <c r="H26" t="s">
        <v>206</v>
      </c>
      <c r="I26" s="17">
        <f ca="1">(TODAY()-staff[[#This Row],[Date Joined]])/365</f>
        <v>3.7178082191780821</v>
      </c>
    </row>
    <row r="27" spans="1:9" x14ac:dyDescent="0.3">
      <c r="A27" s="17" t="s">
        <v>196</v>
      </c>
      <c r="B27" s="17" t="s">
        <v>15</v>
      </c>
      <c r="C27">
        <v>24</v>
      </c>
      <c r="D27" t="s">
        <v>16</v>
      </c>
      <c r="E27" s="19">
        <v>44625</v>
      </c>
      <c r="F27" s="17" t="s">
        <v>12</v>
      </c>
      <c r="G27" s="16">
        <v>100420</v>
      </c>
      <c r="H27" t="s">
        <v>206</v>
      </c>
      <c r="I27" s="17">
        <f ca="1">(TODAY()-staff[[#This Row],[Date Joined]])/365</f>
        <v>3.8301369863013699</v>
      </c>
    </row>
    <row r="28" spans="1:9" x14ac:dyDescent="0.3">
      <c r="A28" s="17" t="s">
        <v>120</v>
      </c>
      <c r="B28" s="17" t="s">
        <v>8</v>
      </c>
      <c r="C28">
        <v>31</v>
      </c>
      <c r="D28" t="s">
        <v>16</v>
      </c>
      <c r="E28" s="19">
        <v>44604</v>
      </c>
      <c r="F28" s="17" t="s">
        <v>12</v>
      </c>
      <c r="G28" s="16">
        <v>58100</v>
      </c>
      <c r="H28" t="s">
        <v>206</v>
      </c>
      <c r="I28" s="17">
        <f ca="1">(TODAY()-staff[[#This Row],[Date Joined]])/365</f>
        <v>3.8876712328767122</v>
      </c>
    </row>
    <row r="29" spans="1:9" x14ac:dyDescent="0.3">
      <c r="A29" s="17" t="s">
        <v>114</v>
      </c>
      <c r="B29" s="17" t="s">
        <v>8</v>
      </c>
      <c r="C29">
        <v>44</v>
      </c>
      <c r="D29" t="s">
        <v>16</v>
      </c>
      <c r="E29" s="19">
        <v>44985</v>
      </c>
      <c r="F29" s="17" t="s">
        <v>12</v>
      </c>
      <c r="G29" s="16">
        <v>114870</v>
      </c>
      <c r="H29" t="s">
        <v>206</v>
      </c>
      <c r="I29" s="17">
        <f ca="1">(TODAY()-staff[[#This Row],[Date Joined]])/365</f>
        <v>2.8438356164383563</v>
      </c>
    </row>
    <row r="30" spans="1:9" x14ac:dyDescent="0.3">
      <c r="A30" s="17" t="s">
        <v>158</v>
      </c>
      <c r="B30" s="17" t="s">
        <v>8</v>
      </c>
      <c r="C30">
        <v>32</v>
      </c>
      <c r="D30" t="s">
        <v>16</v>
      </c>
      <c r="E30" s="19">
        <v>44549</v>
      </c>
      <c r="F30" s="17" t="s">
        <v>9</v>
      </c>
      <c r="G30" s="16">
        <v>41570</v>
      </c>
      <c r="H30" t="s">
        <v>206</v>
      </c>
      <c r="I30" s="17">
        <f ca="1">(TODAY()-staff[[#This Row],[Date Joined]])/365</f>
        <v>4.0383561643835613</v>
      </c>
    </row>
    <row r="31" spans="1:9" x14ac:dyDescent="0.3">
      <c r="A31" s="17" t="s">
        <v>173</v>
      </c>
      <c r="B31" s="17" t="s">
        <v>8</v>
      </c>
      <c r="C31">
        <v>30</v>
      </c>
      <c r="D31" t="s">
        <v>16</v>
      </c>
      <c r="E31" s="19">
        <v>44800</v>
      </c>
      <c r="F31" s="17" t="s">
        <v>9</v>
      </c>
      <c r="G31" s="16">
        <v>112570</v>
      </c>
      <c r="H31" t="s">
        <v>206</v>
      </c>
      <c r="I31" s="17">
        <f ca="1">(TODAY()-staff[[#This Row],[Date Joined]])/365</f>
        <v>3.3506849315068492</v>
      </c>
    </row>
    <row r="32" spans="1:9" x14ac:dyDescent="0.3">
      <c r="A32" s="17" t="s">
        <v>151</v>
      </c>
      <c r="B32" s="17" t="s">
        <v>15</v>
      </c>
      <c r="C32">
        <v>26</v>
      </c>
      <c r="D32" t="s">
        <v>16</v>
      </c>
      <c r="E32" s="19">
        <v>44164</v>
      </c>
      <c r="F32" s="17" t="s">
        <v>9</v>
      </c>
      <c r="G32" s="16">
        <v>47360</v>
      </c>
      <c r="H32" t="s">
        <v>206</v>
      </c>
      <c r="I32" s="17">
        <f ca="1">(TODAY()-staff[[#This Row],[Date Joined]])/365</f>
        <v>5.0931506849315067</v>
      </c>
    </row>
    <row r="33" spans="1:9" x14ac:dyDescent="0.3">
      <c r="A33" s="17" t="s">
        <v>126</v>
      </c>
      <c r="B33" s="17" t="s">
        <v>8</v>
      </c>
      <c r="C33">
        <v>21</v>
      </c>
      <c r="D33" t="s">
        <v>16</v>
      </c>
      <c r="E33" s="19">
        <v>44256</v>
      </c>
      <c r="F33" s="17" t="s">
        <v>21</v>
      </c>
      <c r="G33" s="16">
        <v>65920</v>
      </c>
      <c r="H33" t="s">
        <v>206</v>
      </c>
      <c r="I33" s="17">
        <f ca="1">(TODAY()-staff[[#This Row],[Date Joined]])/365</f>
        <v>4.8410958904109593</v>
      </c>
    </row>
    <row r="34" spans="1:9" x14ac:dyDescent="0.3">
      <c r="A34" s="17" t="s">
        <v>200</v>
      </c>
      <c r="B34" s="17" t="s">
        <v>8</v>
      </c>
      <c r="C34">
        <v>28</v>
      </c>
      <c r="D34" t="s">
        <v>16</v>
      </c>
      <c r="E34" s="19">
        <v>44571</v>
      </c>
      <c r="F34" s="17" t="s">
        <v>9</v>
      </c>
      <c r="G34" s="16">
        <v>99970</v>
      </c>
      <c r="H34" t="s">
        <v>206</v>
      </c>
      <c r="I34" s="17">
        <f ca="1">(TODAY()-staff[[#This Row],[Date Joined]])/365</f>
        <v>3.978082191780822</v>
      </c>
    </row>
    <row r="35" spans="1:9" x14ac:dyDescent="0.3">
      <c r="A35" s="17" t="s">
        <v>133</v>
      </c>
      <c r="B35" s="17" t="s">
        <v>8</v>
      </c>
      <c r="C35">
        <v>25</v>
      </c>
      <c r="D35" t="s">
        <v>13</v>
      </c>
      <c r="E35" s="19">
        <v>44633</v>
      </c>
      <c r="F35" s="17" t="s">
        <v>12</v>
      </c>
      <c r="G35" s="16">
        <v>80700</v>
      </c>
      <c r="H35" t="s">
        <v>206</v>
      </c>
      <c r="I35" s="17">
        <f ca="1">(TODAY()-staff[[#This Row],[Date Joined]])/365</f>
        <v>3.8082191780821919</v>
      </c>
    </row>
    <row r="36" spans="1:9" x14ac:dyDescent="0.3">
      <c r="A36" s="17" t="s">
        <v>155</v>
      </c>
      <c r="B36" s="17" t="s">
        <v>15</v>
      </c>
      <c r="C36">
        <v>24</v>
      </c>
      <c r="D36" t="s">
        <v>24</v>
      </c>
      <c r="E36" s="19">
        <v>44375</v>
      </c>
      <c r="F36" s="17" t="s">
        <v>21</v>
      </c>
      <c r="G36" s="16">
        <v>52610</v>
      </c>
      <c r="H36" t="s">
        <v>206</v>
      </c>
      <c r="I36" s="17">
        <f ca="1">(TODAY()-staff[[#This Row],[Date Joined]])/365</f>
        <v>4.515068493150685</v>
      </c>
    </row>
    <row r="37" spans="1:9" x14ac:dyDescent="0.3">
      <c r="A37" s="17" t="s">
        <v>180</v>
      </c>
      <c r="B37" s="17" t="s">
        <v>15</v>
      </c>
      <c r="C37">
        <v>29</v>
      </c>
      <c r="D37" t="s">
        <v>24</v>
      </c>
      <c r="E37" s="19">
        <v>44119</v>
      </c>
      <c r="F37" s="17" t="s">
        <v>12</v>
      </c>
      <c r="G37" s="16">
        <v>112110</v>
      </c>
      <c r="H37" t="s">
        <v>206</v>
      </c>
      <c r="I37" s="17">
        <f ca="1">(TODAY()-staff[[#This Row],[Date Joined]])/365</f>
        <v>5.2164383561643834</v>
      </c>
    </row>
    <row r="38" spans="1:9" x14ac:dyDescent="0.3">
      <c r="A38" s="17" t="s">
        <v>152</v>
      </c>
      <c r="B38" s="17" t="s">
        <v>8</v>
      </c>
      <c r="C38">
        <v>27</v>
      </c>
      <c r="D38" t="s">
        <v>16</v>
      </c>
      <c r="E38" s="19">
        <v>44061</v>
      </c>
      <c r="F38" s="17" t="s">
        <v>56</v>
      </c>
      <c r="G38" s="16">
        <v>119110</v>
      </c>
      <c r="H38" t="s">
        <v>206</v>
      </c>
      <c r="I38" s="17">
        <f ca="1">(TODAY()-staff[[#This Row],[Date Joined]])/365</f>
        <v>5.375342465753425</v>
      </c>
    </row>
    <row r="39" spans="1:9" x14ac:dyDescent="0.3">
      <c r="A39" s="17" t="s">
        <v>150</v>
      </c>
      <c r="B39" s="17" t="s">
        <v>15</v>
      </c>
      <c r="C39">
        <v>22</v>
      </c>
      <c r="D39" t="s">
        <v>13</v>
      </c>
      <c r="E39" s="19">
        <v>44384</v>
      </c>
      <c r="F39" s="17" t="s">
        <v>19</v>
      </c>
      <c r="G39" s="16">
        <v>112780</v>
      </c>
      <c r="H39" t="s">
        <v>206</v>
      </c>
      <c r="I39" s="17">
        <f ca="1">(TODAY()-staff[[#This Row],[Date Joined]])/365</f>
        <v>4.4904109589041097</v>
      </c>
    </row>
    <row r="40" spans="1:9" x14ac:dyDescent="0.3">
      <c r="A40" s="17" t="s">
        <v>175</v>
      </c>
      <c r="B40" s="17" t="s">
        <v>8</v>
      </c>
      <c r="C40">
        <v>36</v>
      </c>
      <c r="D40" t="s">
        <v>16</v>
      </c>
      <c r="E40" s="19">
        <v>44023</v>
      </c>
      <c r="F40" s="17" t="s">
        <v>9</v>
      </c>
      <c r="G40" s="16">
        <v>114890</v>
      </c>
      <c r="H40" t="s">
        <v>206</v>
      </c>
      <c r="I40" s="17">
        <f ca="1">(TODAY()-staff[[#This Row],[Date Joined]])/365</f>
        <v>5.4794520547945202</v>
      </c>
    </row>
    <row r="41" spans="1:9" x14ac:dyDescent="0.3">
      <c r="A41" s="17" t="s">
        <v>146</v>
      </c>
      <c r="B41" s="17" t="s">
        <v>15</v>
      </c>
      <c r="C41">
        <v>27</v>
      </c>
      <c r="D41" t="s">
        <v>16</v>
      </c>
      <c r="E41" s="19">
        <v>44506</v>
      </c>
      <c r="F41" s="17" t="s">
        <v>21</v>
      </c>
      <c r="G41" s="16">
        <v>48980</v>
      </c>
      <c r="H41" t="s">
        <v>206</v>
      </c>
      <c r="I41" s="17">
        <f ca="1">(TODAY()-staff[[#This Row],[Date Joined]])/365</f>
        <v>4.1561643835616442</v>
      </c>
    </row>
    <row r="42" spans="1:9" x14ac:dyDescent="0.3">
      <c r="A42" s="17" t="s">
        <v>170</v>
      </c>
      <c r="B42" s="17" t="s">
        <v>15</v>
      </c>
      <c r="C42">
        <v>21</v>
      </c>
      <c r="D42" t="s">
        <v>16</v>
      </c>
      <c r="E42" s="19">
        <v>44180</v>
      </c>
      <c r="F42" s="17" t="s">
        <v>56</v>
      </c>
      <c r="G42" s="16">
        <v>75880</v>
      </c>
      <c r="H42" t="s">
        <v>206</v>
      </c>
      <c r="I42" s="17">
        <f ca="1">(TODAY()-staff[[#This Row],[Date Joined]])/365</f>
        <v>5.0493150684931507</v>
      </c>
    </row>
    <row r="43" spans="1:9" x14ac:dyDescent="0.3">
      <c r="A43" s="17" t="s">
        <v>167</v>
      </c>
      <c r="B43" s="17" t="s">
        <v>8</v>
      </c>
      <c r="C43">
        <v>28</v>
      </c>
      <c r="D43" t="s">
        <v>16</v>
      </c>
      <c r="E43" s="19">
        <v>44296</v>
      </c>
      <c r="F43" s="17" t="s">
        <v>19</v>
      </c>
      <c r="G43" s="16">
        <v>53240</v>
      </c>
      <c r="H43" t="s">
        <v>206</v>
      </c>
      <c r="I43" s="17">
        <f ca="1">(TODAY()-staff[[#This Row],[Date Joined]])/365</f>
        <v>4.7315068493150685</v>
      </c>
    </row>
    <row r="44" spans="1:9" x14ac:dyDescent="0.3">
      <c r="A44" s="17" t="s">
        <v>122</v>
      </c>
      <c r="B44" s="17" t="s">
        <v>8</v>
      </c>
      <c r="C44">
        <v>34</v>
      </c>
      <c r="D44" t="s">
        <v>16</v>
      </c>
      <c r="E44" s="19">
        <v>44397</v>
      </c>
      <c r="F44" s="17" t="s">
        <v>21</v>
      </c>
      <c r="G44" s="16">
        <v>85000</v>
      </c>
      <c r="H44" t="s">
        <v>206</v>
      </c>
      <c r="I44" s="17">
        <f ca="1">(TODAY()-staff[[#This Row],[Date Joined]])/365</f>
        <v>4.4547945205479449</v>
      </c>
    </row>
    <row r="45" spans="1:9" x14ac:dyDescent="0.3">
      <c r="A45" s="17" t="s">
        <v>179</v>
      </c>
      <c r="B45" s="17" t="s">
        <v>8</v>
      </c>
      <c r="C45">
        <v>21</v>
      </c>
      <c r="D45" t="s">
        <v>16</v>
      </c>
      <c r="E45" s="19">
        <v>44619</v>
      </c>
      <c r="F45" s="17" t="s">
        <v>12</v>
      </c>
      <c r="G45" s="16">
        <v>33920</v>
      </c>
      <c r="H45" t="s">
        <v>206</v>
      </c>
      <c r="I45" s="17">
        <f ca="1">(TODAY()-staff[[#This Row],[Date Joined]])/365</f>
        <v>3.8465753424657536</v>
      </c>
    </row>
    <row r="46" spans="1:9" x14ac:dyDescent="0.3">
      <c r="A46" s="17" t="s">
        <v>188</v>
      </c>
      <c r="B46" s="17" t="s">
        <v>8</v>
      </c>
      <c r="C46">
        <v>33</v>
      </c>
      <c r="D46" t="s">
        <v>16</v>
      </c>
      <c r="E46" s="19">
        <v>44253</v>
      </c>
      <c r="F46" s="17" t="s">
        <v>12</v>
      </c>
      <c r="G46" s="16">
        <v>75280</v>
      </c>
      <c r="H46" t="s">
        <v>206</v>
      </c>
      <c r="I46" s="17">
        <f ca="1">(TODAY()-staff[[#This Row],[Date Joined]])/365</f>
        <v>4.8493150684931505</v>
      </c>
    </row>
    <row r="47" spans="1:9" x14ac:dyDescent="0.3">
      <c r="A47" s="17" t="s">
        <v>130</v>
      </c>
      <c r="B47" s="17" t="s">
        <v>8</v>
      </c>
      <c r="C47">
        <v>34</v>
      </c>
      <c r="D47" t="s">
        <v>16</v>
      </c>
      <c r="E47" s="19">
        <v>44594</v>
      </c>
      <c r="F47" s="17" t="s">
        <v>21</v>
      </c>
      <c r="G47" s="16">
        <v>58940</v>
      </c>
      <c r="H47" t="s">
        <v>206</v>
      </c>
      <c r="I47" s="17">
        <f ca="1">(TODAY()-staff[[#This Row],[Date Joined]])/365</f>
        <v>3.9150684931506849</v>
      </c>
    </row>
    <row r="48" spans="1:9" x14ac:dyDescent="0.3">
      <c r="A48" s="17" t="s">
        <v>136</v>
      </c>
      <c r="B48" s="17" t="s">
        <v>8</v>
      </c>
      <c r="C48">
        <v>28</v>
      </c>
      <c r="D48" t="s">
        <v>16</v>
      </c>
      <c r="E48" s="19">
        <v>44425</v>
      </c>
      <c r="F48" s="17" t="s">
        <v>9</v>
      </c>
      <c r="G48" s="16">
        <v>104770</v>
      </c>
      <c r="H48" t="s">
        <v>206</v>
      </c>
      <c r="I48" s="17">
        <f ca="1">(TODAY()-staff[[#This Row],[Date Joined]])/365</f>
        <v>4.3780821917808215</v>
      </c>
    </row>
    <row r="49" spans="1:9" x14ac:dyDescent="0.3">
      <c r="A49" s="17" t="s">
        <v>125</v>
      </c>
      <c r="B49" s="17" t="s">
        <v>15</v>
      </c>
      <c r="C49">
        <v>21</v>
      </c>
      <c r="D49" t="s">
        <v>16</v>
      </c>
      <c r="E49" s="19">
        <v>44701</v>
      </c>
      <c r="F49" s="17" t="s">
        <v>9</v>
      </c>
      <c r="G49" s="16">
        <v>57090</v>
      </c>
      <c r="H49" t="s">
        <v>206</v>
      </c>
      <c r="I49" s="17">
        <f ca="1">(TODAY()-staff[[#This Row],[Date Joined]])/365</f>
        <v>3.6219178082191781</v>
      </c>
    </row>
    <row r="50" spans="1:9" x14ac:dyDescent="0.3">
      <c r="A50" s="17" t="s">
        <v>160</v>
      </c>
      <c r="B50" s="17" t="s">
        <v>15</v>
      </c>
      <c r="C50">
        <v>27</v>
      </c>
      <c r="D50" t="s">
        <v>13</v>
      </c>
      <c r="E50" s="19">
        <v>44174</v>
      </c>
      <c r="F50" s="17" t="s">
        <v>21</v>
      </c>
      <c r="G50" s="16">
        <v>91650</v>
      </c>
      <c r="H50" t="s">
        <v>206</v>
      </c>
      <c r="I50" s="17">
        <f ca="1">(TODAY()-staff[[#This Row],[Date Joined]])/365</f>
        <v>5.065753424657534</v>
      </c>
    </row>
    <row r="51" spans="1:9" x14ac:dyDescent="0.3">
      <c r="A51" s="17" t="s">
        <v>183</v>
      </c>
      <c r="B51" s="17" t="s">
        <v>15</v>
      </c>
      <c r="C51">
        <v>42</v>
      </c>
      <c r="D51" t="s">
        <v>24</v>
      </c>
      <c r="E51" s="19">
        <v>44670</v>
      </c>
      <c r="F51" s="17" t="s">
        <v>21</v>
      </c>
      <c r="G51" s="16">
        <v>70270</v>
      </c>
      <c r="H51" t="s">
        <v>206</v>
      </c>
      <c r="I51" s="17">
        <f ca="1">(TODAY()-staff[[#This Row],[Date Joined]])/365</f>
        <v>3.7068493150684931</v>
      </c>
    </row>
    <row r="52" spans="1:9" x14ac:dyDescent="0.3">
      <c r="A52" s="17" t="s">
        <v>129</v>
      </c>
      <c r="B52" s="17" t="s">
        <v>8</v>
      </c>
      <c r="C52">
        <v>28</v>
      </c>
      <c r="D52" t="s">
        <v>16</v>
      </c>
      <c r="E52" s="19">
        <v>44124</v>
      </c>
      <c r="F52" s="17" t="s">
        <v>21</v>
      </c>
      <c r="G52" s="16">
        <v>75970</v>
      </c>
      <c r="H52" t="s">
        <v>206</v>
      </c>
      <c r="I52" s="17">
        <f ca="1">(TODAY()-staff[[#This Row],[Date Joined]])/365</f>
        <v>5.2027397260273975</v>
      </c>
    </row>
    <row r="53" spans="1:9" x14ac:dyDescent="0.3">
      <c r="A53" s="17" t="s">
        <v>112</v>
      </c>
      <c r="B53" s="17" t="s">
        <v>207</v>
      </c>
      <c r="C53">
        <v>27</v>
      </c>
      <c r="D53" t="s">
        <v>13</v>
      </c>
      <c r="E53" s="19">
        <v>44212</v>
      </c>
      <c r="F53" s="17" t="s">
        <v>12</v>
      </c>
      <c r="G53" s="16">
        <v>90700</v>
      </c>
      <c r="H53" t="s">
        <v>206</v>
      </c>
      <c r="I53" s="17">
        <f ca="1">(TODAY()-staff[[#This Row],[Date Joined]])/365</f>
        <v>4.9616438356164387</v>
      </c>
    </row>
    <row r="54" spans="1:9" x14ac:dyDescent="0.3">
      <c r="A54" s="17" t="s">
        <v>131</v>
      </c>
      <c r="B54" s="17" t="s">
        <v>15</v>
      </c>
      <c r="C54">
        <v>30</v>
      </c>
      <c r="D54" t="s">
        <v>16</v>
      </c>
      <c r="E54" s="19">
        <v>44607</v>
      </c>
      <c r="F54" s="17" t="s">
        <v>9</v>
      </c>
      <c r="G54" s="16">
        <v>60570</v>
      </c>
      <c r="H54" t="s">
        <v>206</v>
      </c>
      <c r="I54" s="17">
        <f ca="1">(TODAY()-staff[[#This Row],[Date Joined]])/365</f>
        <v>3.8794520547945206</v>
      </c>
    </row>
    <row r="55" spans="1:9" x14ac:dyDescent="0.3">
      <c r="A55" s="17" t="s">
        <v>134</v>
      </c>
      <c r="B55" s="17" t="s">
        <v>15</v>
      </c>
      <c r="C55">
        <v>33</v>
      </c>
      <c r="D55" t="s">
        <v>16</v>
      </c>
      <c r="E55" s="19">
        <v>44103</v>
      </c>
      <c r="F55" s="17" t="s">
        <v>9</v>
      </c>
      <c r="G55" s="16">
        <v>115920</v>
      </c>
      <c r="H55" t="s">
        <v>206</v>
      </c>
      <c r="I55" s="17">
        <f ca="1">(TODAY()-staff[[#This Row],[Date Joined]])/365</f>
        <v>5.2602739726027394</v>
      </c>
    </row>
    <row r="56" spans="1:9" x14ac:dyDescent="0.3">
      <c r="A56" s="17" t="s">
        <v>186</v>
      </c>
      <c r="B56" s="17" t="s">
        <v>8</v>
      </c>
      <c r="C56">
        <v>33</v>
      </c>
      <c r="D56" t="s">
        <v>16</v>
      </c>
      <c r="E56" s="19">
        <v>44006</v>
      </c>
      <c r="F56" s="17" t="s">
        <v>21</v>
      </c>
      <c r="G56" s="16">
        <v>65360</v>
      </c>
      <c r="H56" t="s">
        <v>206</v>
      </c>
      <c r="I56" s="17">
        <f ca="1">(TODAY()-staff[[#This Row],[Date Joined]])/365</f>
        <v>5.5260273972602736</v>
      </c>
    </row>
    <row r="57" spans="1:9" x14ac:dyDescent="0.3">
      <c r="A57" s="17" t="s">
        <v>116</v>
      </c>
      <c r="B57" s="17" t="s">
        <v>207</v>
      </c>
      <c r="C57">
        <v>30</v>
      </c>
      <c r="D57" t="s">
        <v>16</v>
      </c>
      <c r="E57" s="19">
        <v>44535</v>
      </c>
      <c r="F57" s="17" t="s">
        <v>21</v>
      </c>
      <c r="G57" s="16">
        <v>64000</v>
      </c>
      <c r="H57" t="s">
        <v>206</v>
      </c>
      <c r="I57" s="17">
        <f ca="1">(TODAY()-staff[[#This Row],[Date Joined]])/365</f>
        <v>4.0767123287671234</v>
      </c>
    </row>
    <row r="58" spans="1:9" x14ac:dyDescent="0.3">
      <c r="A58" s="17" t="s">
        <v>195</v>
      </c>
      <c r="B58" s="17" t="s">
        <v>8</v>
      </c>
      <c r="C58">
        <v>34</v>
      </c>
      <c r="D58" t="s">
        <v>16</v>
      </c>
      <c r="E58" s="19">
        <v>44383</v>
      </c>
      <c r="F58" s="17" t="s">
        <v>21</v>
      </c>
      <c r="G58" s="16">
        <v>92450</v>
      </c>
      <c r="H58" t="s">
        <v>206</v>
      </c>
      <c r="I58" s="17">
        <f ca="1">(TODAY()-staff[[#This Row],[Date Joined]])/365</f>
        <v>4.493150684931507</v>
      </c>
    </row>
    <row r="59" spans="1:9" x14ac:dyDescent="0.3">
      <c r="A59" s="17" t="s">
        <v>113</v>
      </c>
      <c r="B59" s="17" t="s">
        <v>15</v>
      </c>
      <c r="C59">
        <v>31</v>
      </c>
      <c r="D59" t="s">
        <v>16</v>
      </c>
      <c r="E59" s="19">
        <v>44450</v>
      </c>
      <c r="F59" s="17" t="s">
        <v>12</v>
      </c>
      <c r="G59" s="16">
        <v>48950</v>
      </c>
      <c r="H59" t="s">
        <v>206</v>
      </c>
      <c r="I59" s="17">
        <f ca="1">(TODAY()-staff[[#This Row],[Date Joined]])/365</f>
        <v>4.3095890410958901</v>
      </c>
    </row>
    <row r="60" spans="1:9" x14ac:dyDescent="0.3">
      <c r="A60" s="17" t="s">
        <v>185</v>
      </c>
      <c r="B60" s="17" t="s">
        <v>8</v>
      </c>
      <c r="C60">
        <v>27</v>
      </c>
      <c r="D60" t="s">
        <v>16</v>
      </c>
      <c r="E60" s="19">
        <v>44625</v>
      </c>
      <c r="F60" s="17" t="s">
        <v>12</v>
      </c>
      <c r="G60" s="16">
        <v>83750</v>
      </c>
      <c r="H60" t="s">
        <v>206</v>
      </c>
      <c r="I60" s="17">
        <f ca="1">(TODAY()-staff[[#This Row],[Date Joined]])/365</f>
        <v>3.8301369863013699</v>
      </c>
    </row>
    <row r="61" spans="1:9" x14ac:dyDescent="0.3">
      <c r="A61" s="17" t="s">
        <v>166</v>
      </c>
      <c r="B61" s="17" t="s">
        <v>8</v>
      </c>
      <c r="C61">
        <v>40</v>
      </c>
      <c r="D61" t="s">
        <v>16</v>
      </c>
      <c r="E61" s="19">
        <v>44276</v>
      </c>
      <c r="F61" s="17" t="s">
        <v>12</v>
      </c>
      <c r="G61" s="16">
        <v>87620</v>
      </c>
      <c r="H61" t="s">
        <v>206</v>
      </c>
      <c r="I61" s="17">
        <f ca="1">(TODAY()-staff[[#This Row],[Date Joined]])/365</f>
        <v>4.7863013698630139</v>
      </c>
    </row>
    <row r="62" spans="1:9" x14ac:dyDescent="0.3">
      <c r="A62" s="17" t="s">
        <v>184</v>
      </c>
      <c r="B62" s="17" t="s">
        <v>8</v>
      </c>
      <c r="C62">
        <v>20</v>
      </c>
      <c r="D62" t="s">
        <v>24</v>
      </c>
      <c r="E62" s="19">
        <v>44476</v>
      </c>
      <c r="F62" s="17" t="s">
        <v>19</v>
      </c>
      <c r="G62" s="16">
        <v>68900</v>
      </c>
      <c r="H62" t="s">
        <v>206</v>
      </c>
      <c r="I62" s="17">
        <f ca="1">(TODAY()-staff[[#This Row],[Date Joined]])/365</f>
        <v>4.2383561643835614</v>
      </c>
    </row>
    <row r="63" spans="1:9" x14ac:dyDescent="0.3">
      <c r="A63" s="17" t="s">
        <v>157</v>
      </c>
      <c r="B63" s="17" t="s">
        <v>15</v>
      </c>
      <c r="C63">
        <v>32</v>
      </c>
      <c r="D63" t="s">
        <v>16</v>
      </c>
      <c r="E63" s="19">
        <v>44403</v>
      </c>
      <c r="F63" s="17" t="s">
        <v>19</v>
      </c>
      <c r="G63" s="16">
        <v>53540</v>
      </c>
      <c r="H63" t="s">
        <v>206</v>
      </c>
      <c r="I63" s="17">
        <f ca="1">(TODAY()-staff[[#This Row],[Date Joined]])/365</f>
        <v>4.4383561643835616</v>
      </c>
    </row>
    <row r="64" spans="1:9" x14ac:dyDescent="0.3">
      <c r="A64" s="17" t="s">
        <v>172</v>
      </c>
      <c r="B64" s="17" t="s">
        <v>15</v>
      </c>
      <c r="C64">
        <v>28</v>
      </c>
      <c r="D64" t="s">
        <v>42</v>
      </c>
      <c r="E64" s="19">
        <v>44758</v>
      </c>
      <c r="F64" s="17" t="s">
        <v>19</v>
      </c>
      <c r="G64" s="16">
        <v>43510</v>
      </c>
      <c r="H64" t="s">
        <v>206</v>
      </c>
      <c r="I64" s="17">
        <f ca="1">(TODAY()-staff[[#This Row],[Date Joined]])/365</f>
        <v>3.4657534246575343</v>
      </c>
    </row>
    <row r="65" spans="1:9" x14ac:dyDescent="0.3">
      <c r="A65" s="17" t="s">
        <v>127</v>
      </c>
      <c r="B65" s="17" t="s">
        <v>8</v>
      </c>
      <c r="C65">
        <v>38</v>
      </c>
      <c r="D65" t="s">
        <v>10</v>
      </c>
      <c r="E65" s="19">
        <v>44316</v>
      </c>
      <c r="F65" s="17" t="s">
        <v>19</v>
      </c>
      <c r="G65" s="16">
        <v>109160</v>
      </c>
      <c r="H65" t="s">
        <v>206</v>
      </c>
      <c r="I65" s="17">
        <f ca="1">(TODAY()-staff[[#This Row],[Date Joined]])/365</f>
        <v>4.6767123287671231</v>
      </c>
    </row>
    <row r="66" spans="1:9" x14ac:dyDescent="0.3">
      <c r="A66" s="17" t="s">
        <v>198</v>
      </c>
      <c r="B66" s="17" t="s">
        <v>15</v>
      </c>
      <c r="C66">
        <v>40</v>
      </c>
      <c r="D66" t="s">
        <v>16</v>
      </c>
      <c r="E66" s="19">
        <v>44204</v>
      </c>
      <c r="F66" s="17" t="s">
        <v>9</v>
      </c>
      <c r="G66" s="16">
        <v>99750</v>
      </c>
      <c r="H66" t="s">
        <v>206</v>
      </c>
      <c r="I66" s="17">
        <f ca="1">(TODAY()-staff[[#This Row],[Date Joined]])/365</f>
        <v>4.9835616438356167</v>
      </c>
    </row>
    <row r="67" spans="1:9" x14ac:dyDescent="0.3">
      <c r="A67" s="17" t="s">
        <v>124</v>
      </c>
      <c r="B67" s="17" t="s">
        <v>8</v>
      </c>
      <c r="C67">
        <v>31</v>
      </c>
      <c r="D67" t="s">
        <v>16</v>
      </c>
      <c r="E67" s="19">
        <v>44084</v>
      </c>
      <c r="F67" s="17" t="s">
        <v>12</v>
      </c>
      <c r="G67" s="16">
        <v>41980</v>
      </c>
      <c r="H67" t="s">
        <v>206</v>
      </c>
      <c r="I67" s="17">
        <f ca="1">(TODAY()-staff[[#This Row],[Date Joined]])/365</f>
        <v>5.3123287671232875</v>
      </c>
    </row>
    <row r="68" spans="1:9" x14ac:dyDescent="0.3">
      <c r="A68" s="17" t="s">
        <v>187</v>
      </c>
      <c r="B68" s="17" t="s">
        <v>15</v>
      </c>
      <c r="C68">
        <v>36</v>
      </c>
      <c r="D68" t="s">
        <v>16</v>
      </c>
      <c r="E68" s="19">
        <v>44272</v>
      </c>
      <c r="F68" s="17" t="s">
        <v>21</v>
      </c>
      <c r="G68" s="16">
        <v>71380</v>
      </c>
      <c r="H68" t="s">
        <v>206</v>
      </c>
      <c r="I68" s="17">
        <f ca="1">(TODAY()-staff[[#This Row],[Date Joined]])/365</f>
        <v>4.7972602739726025</v>
      </c>
    </row>
    <row r="69" spans="1:9" x14ac:dyDescent="0.3">
      <c r="A69" s="17" t="s">
        <v>191</v>
      </c>
      <c r="B69" s="17" t="s">
        <v>15</v>
      </c>
      <c r="C69">
        <v>27</v>
      </c>
      <c r="D69" t="s">
        <v>42</v>
      </c>
      <c r="E69" s="19">
        <v>44547</v>
      </c>
      <c r="F69" s="17" t="s">
        <v>9</v>
      </c>
      <c r="G69" s="16">
        <v>113280</v>
      </c>
      <c r="H69" t="s">
        <v>206</v>
      </c>
      <c r="I69" s="17">
        <f ca="1">(TODAY()-staff[[#This Row],[Date Joined]])/365</f>
        <v>4.043835616438356</v>
      </c>
    </row>
    <row r="70" spans="1:9" x14ac:dyDescent="0.3">
      <c r="A70" s="17" t="s">
        <v>181</v>
      </c>
      <c r="B70" s="17" t="s">
        <v>8</v>
      </c>
      <c r="C70">
        <v>33</v>
      </c>
      <c r="D70" t="s">
        <v>16</v>
      </c>
      <c r="E70" s="19">
        <v>44747</v>
      </c>
      <c r="F70" s="17" t="s">
        <v>21</v>
      </c>
      <c r="G70" s="16">
        <v>86570</v>
      </c>
      <c r="H70" t="s">
        <v>206</v>
      </c>
      <c r="I70" s="17">
        <f ca="1">(TODAY()-staff[[#This Row],[Date Joined]])/365</f>
        <v>3.495890410958904</v>
      </c>
    </row>
    <row r="71" spans="1:9" x14ac:dyDescent="0.3">
      <c r="A71" s="17" t="s">
        <v>139</v>
      </c>
      <c r="B71" s="17" t="s">
        <v>15</v>
      </c>
      <c r="C71">
        <v>26</v>
      </c>
      <c r="D71" t="s">
        <v>16</v>
      </c>
      <c r="E71" s="19">
        <v>44350</v>
      </c>
      <c r="F71" s="17" t="s">
        <v>9</v>
      </c>
      <c r="G71" s="16">
        <v>53540</v>
      </c>
      <c r="H71" t="s">
        <v>206</v>
      </c>
      <c r="I71" s="17">
        <f ca="1">(TODAY()-staff[[#This Row],[Date Joined]])/365</f>
        <v>4.5835616438356164</v>
      </c>
    </row>
    <row r="72" spans="1:9" x14ac:dyDescent="0.3">
      <c r="A72" s="17" t="s">
        <v>190</v>
      </c>
      <c r="B72" s="17" t="s">
        <v>15</v>
      </c>
      <c r="C72">
        <v>37</v>
      </c>
      <c r="D72" t="s">
        <v>16</v>
      </c>
      <c r="E72" s="19">
        <v>44640</v>
      </c>
      <c r="F72" s="17" t="s">
        <v>12</v>
      </c>
      <c r="G72" s="16">
        <v>69070</v>
      </c>
      <c r="H72" t="s">
        <v>206</v>
      </c>
      <c r="I72" s="17">
        <f ca="1">(TODAY()-staff[[#This Row],[Date Joined]])/365</f>
        <v>3.7890410958904108</v>
      </c>
    </row>
    <row r="73" spans="1:9" x14ac:dyDescent="0.3">
      <c r="A73" s="17" t="s">
        <v>121</v>
      </c>
      <c r="B73" s="17" t="s">
        <v>8</v>
      </c>
      <c r="C73">
        <v>30</v>
      </c>
      <c r="D73" t="s">
        <v>24</v>
      </c>
      <c r="E73" s="19">
        <v>44328</v>
      </c>
      <c r="F73" s="17" t="s">
        <v>21</v>
      </c>
      <c r="G73" s="16">
        <v>67910</v>
      </c>
      <c r="H73" t="s">
        <v>206</v>
      </c>
      <c r="I73" s="17">
        <f ca="1">(TODAY()-staff[[#This Row],[Date Joined]])/365</f>
        <v>4.6438356164383565</v>
      </c>
    </row>
    <row r="74" spans="1:9" x14ac:dyDescent="0.3">
      <c r="A74" s="17" t="s">
        <v>119</v>
      </c>
      <c r="B74" s="17" t="s">
        <v>15</v>
      </c>
      <c r="C74">
        <v>30</v>
      </c>
      <c r="D74" t="s">
        <v>16</v>
      </c>
      <c r="E74" s="19">
        <v>44214</v>
      </c>
      <c r="F74" s="17" t="s">
        <v>12</v>
      </c>
      <c r="G74" s="16">
        <v>69120</v>
      </c>
      <c r="H74" t="s">
        <v>206</v>
      </c>
      <c r="I74" s="17">
        <f ca="1">(TODAY()-staff[[#This Row],[Date Joined]])/365</f>
        <v>4.956164383561644</v>
      </c>
    </row>
    <row r="75" spans="1:9" x14ac:dyDescent="0.3">
      <c r="A75" s="17" t="s">
        <v>132</v>
      </c>
      <c r="B75" s="17" t="s">
        <v>8</v>
      </c>
      <c r="C75">
        <v>34</v>
      </c>
      <c r="D75" t="s">
        <v>16</v>
      </c>
      <c r="E75" s="19">
        <v>44550</v>
      </c>
      <c r="F75" s="17" t="s">
        <v>21</v>
      </c>
      <c r="G75" s="16">
        <v>60130</v>
      </c>
      <c r="H75" t="s">
        <v>206</v>
      </c>
      <c r="I75" s="17">
        <f ca="1">(TODAY()-staff[[#This Row],[Date Joined]])/365</f>
        <v>4.0356164383561648</v>
      </c>
    </row>
    <row r="76" spans="1:9" x14ac:dyDescent="0.3">
      <c r="A76" s="17" t="s">
        <v>161</v>
      </c>
      <c r="B76" s="17" t="s">
        <v>15</v>
      </c>
      <c r="C76">
        <v>23</v>
      </c>
      <c r="D76" t="s">
        <v>16</v>
      </c>
      <c r="E76" s="19">
        <v>44378</v>
      </c>
      <c r="F76" s="17" t="s">
        <v>9</v>
      </c>
      <c r="G76" s="16">
        <v>106460</v>
      </c>
      <c r="H76" t="s">
        <v>206</v>
      </c>
      <c r="I76" s="17">
        <f ca="1">(TODAY()-staff[[#This Row],[Date Joined]])/365</f>
        <v>4.506849315068493</v>
      </c>
    </row>
    <row r="77" spans="1:9" x14ac:dyDescent="0.3">
      <c r="A77" s="17" t="s">
        <v>148</v>
      </c>
      <c r="B77" s="17" t="s">
        <v>8</v>
      </c>
      <c r="C77">
        <v>37</v>
      </c>
      <c r="D77" t="s">
        <v>16</v>
      </c>
      <c r="E77" s="19">
        <v>44389</v>
      </c>
      <c r="F77" s="17" t="s">
        <v>56</v>
      </c>
      <c r="G77" s="16">
        <v>118100</v>
      </c>
      <c r="H77" t="s">
        <v>206</v>
      </c>
      <c r="I77" s="17">
        <f ca="1">(TODAY()-staff[[#This Row],[Date Joined]])/365</f>
        <v>4.4767123287671229</v>
      </c>
    </row>
    <row r="78" spans="1:9" x14ac:dyDescent="0.3">
      <c r="A78" s="17" t="s">
        <v>164</v>
      </c>
      <c r="B78" s="17" t="s">
        <v>8</v>
      </c>
      <c r="C78">
        <v>36</v>
      </c>
      <c r="D78" t="s">
        <v>16</v>
      </c>
      <c r="E78" s="19">
        <v>44468</v>
      </c>
      <c r="F78" s="17" t="s">
        <v>9</v>
      </c>
      <c r="G78" s="16">
        <v>78390</v>
      </c>
      <c r="H78" t="s">
        <v>206</v>
      </c>
      <c r="I78" s="17">
        <f ca="1">(TODAY()-staff[[#This Row],[Date Joined]])/365</f>
        <v>4.2602739726027394</v>
      </c>
    </row>
    <row r="79" spans="1:9" x14ac:dyDescent="0.3">
      <c r="A79" s="17" t="s">
        <v>147</v>
      </c>
      <c r="B79" s="17" t="s">
        <v>8</v>
      </c>
      <c r="C79">
        <v>30</v>
      </c>
      <c r="D79" t="s">
        <v>16</v>
      </c>
      <c r="E79" s="19">
        <v>44789</v>
      </c>
      <c r="F79" s="17" t="s">
        <v>9</v>
      </c>
      <c r="G79" s="16">
        <v>114180</v>
      </c>
      <c r="H79" t="s">
        <v>206</v>
      </c>
      <c r="I79" s="17">
        <f ca="1">(TODAY()-staff[[#This Row],[Date Joined]])/365</f>
        <v>3.3808219178082193</v>
      </c>
    </row>
    <row r="80" spans="1:9" x14ac:dyDescent="0.3">
      <c r="A80" s="17" t="s">
        <v>189</v>
      </c>
      <c r="B80" s="17" t="s">
        <v>8</v>
      </c>
      <c r="C80">
        <v>28</v>
      </c>
      <c r="D80" t="s">
        <v>16</v>
      </c>
      <c r="E80" s="19">
        <v>44590</v>
      </c>
      <c r="F80" s="17" t="s">
        <v>9</v>
      </c>
      <c r="G80" s="16">
        <v>104120</v>
      </c>
      <c r="H80" t="s">
        <v>206</v>
      </c>
      <c r="I80" s="17">
        <f ca="1">(TODAY()-staff[[#This Row],[Date Joined]])/365</f>
        <v>3.9260273972602739</v>
      </c>
    </row>
    <row r="81" spans="1:9" x14ac:dyDescent="0.3">
      <c r="A81" s="17" t="s">
        <v>138</v>
      </c>
      <c r="B81" s="17" t="s">
        <v>15</v>
      </c>
      <c r="C81">
        <v>30</v>
      </c>
      <c r="D81" t="s">
        <v>16</v>
      </c>
      <c r="E81" s="19">
        <v>44640</v>
      </c>
      <c r="F81" s="17" t="s">
        <v>9</v>
      </c>
      <c r="G81" s="16">
        <v>67950</v>
      </c>
      <c r="H81" t="s">
        <v>206</v>
      </c>
      <c r="I81" s="17">
        <f ca="1">(TODAY()-staff[[#This Row],[Date Joined]])/365</f>
        <v>3.7890410958904108</v>
      </c>
    </row>
    <row r="82" spans="1:9" x14ac:dyDescent="0.3">
      <c r="A82" s="17" t="s">
        <v>137</v>
      </c>
      <c r="B82" s="17" t="s">
        <v>8</v>
      </c>
      <c r="C82">
        <v>29</v>
      </c>
      <c r="D82" t="s">
        <v>16</v>
      </c>
      <c r="E82" s="19">
        <v>43962</v>
      </c>
      <c r="F82" s="17" t="s">
        <v>12</v>
      </c>
      <c r="G82" s="16">
        <v>34980</v>
      </c>
      <c r="H82" t="s">
        <v>206</v>
      </c>
      <c r="I82" s="17">
        <f ca="1">(TODAY()-staff[[#This Row],[Date Joined]])/365</f>
        <v>5.646575342465753</v>
      </c>
    </row>
    <row r="83" spans="1:9" x14ac:dyDescent="0.3">
      <c r="A83" s="17" t="s">
        <v>153</v>
      </c>
      <c r="B83" s="17" t="s">
        <v>8</v>
      </c>
      <c r="C83">
        <v>24</v>
      </c>
      <c r="D83" t="s">
        <v>16</v>
      </c>
      <c r="E83" s="19">
        <v>44087</v>
      </c>
      <c r="F83" s="17" t="s">
        <v>12</v>
      </c>
      <c r="G83" s="16">
        <v>62780</v>
      </c>
      <c r="H83" t="s">
        <v>206</v>
      </c>
      <c r="I83" s="17">
        <f ca="1">(TODAY()-staff[[#This Row],[Date Joined]])/365</f>
        <v>5.3041095890410963</v>
      </c>
    </row>
    <row r="84" spans="1:9" x14ac:dyDescent="0.3">
      <c r="A84" s="17" t="s">
        <v>117</v>
      </c>
      <c r="B84" s="17" t="s">
        <v>15</v>
      </c>
      <c r="C84">
        <v>20</v>
      </c>
      <c r="D84" t="s">
        <v>16</v>
      </c>
      <c r="E84" s="19">
        <v>44397</v>
      </c>
      <c r="F84" s="17" t="s">
        <v>12</v>
      </c>
      <c r="G84" s="16">
        <v>107700</v>
      </c>
      <c r="H84" t="s">
        <v>206</v>
      </c>
      <c r="I84" s="17">
        <f ca="1">(TODAY()-staff[[#This Row],[Date Joined]])/365</f>
        <v>4.4547945205479449</v>
      </c>
    </row>
    <row r="85" spans="1:9" x14ac:dyDescent="0.3">
      <c r="A85" s="17" t="s">
        <v>168</v>
      </c>
      <c r="B85" s="17" t="s">
        <v>15</v>
      </c>
      <c r="C85">
        <v>25</v>
      </c>
      <c r="D85" t="s">
        <v>16</v>
      </c>
      <c r="E85" s="19">
        <v>44322</v>
      </c>
      <c r="F85" s="17" t="s">
        <v>19</v>
      </c>
      <c r="G85" s="16">
        <v>65700</v>
      </c>
      <c r="H85" t="s">
        <v>206</v>
      </c>
      <c r="I85" s="17">
        <f ca="1">(TODAY()-staff[[#This Row],[Date Joined]])/365</f>
        <v>4.6602739726027398</v>
      </c>
    </row>
    <row r="86" spans="1:9" x14ac:dyDescent="0.3">
      <c r="A86" s="17" t="s">
        <v>135</v>
      </c>
      <c r="B86" s="17" t="s">
        <v>8</v>
      </c>
      <c r="C86">
        <v>33</v>
      </c>
      <c r="D86" t="s">
        <v>42</v>
      </c>
      <c r="E86" s="19">
        <v>44313</v>
      </c>
      <c r="F86" s="17" t="s">
        <v>12</v>
      </c>
      <c r="G86" s="16">
        <v>75480</v>
      </c>
      <c r="H86" t="s">
        <v>206</v>
      </c>
      <c r="I86" s="17">
        <f ca="1">(TODAY()-staff[[#This Row],[Date Joined]])/365</f>
        <v>4.6849315068493151</v>
      </c>
    </row>
    <row r="87" spans="1:9" x14ac:dyDescent="0.3">
      <c r="A87" s="17" t="s">
        <v>174</v>
      </c>
      <c r="B87" s="17" t="s">
        <v>15</v>
      </c>
      <c r="C87">
        <v>33</v>
      </c>
      <c r="D87" t="s">
        <v>16</v>
      </c>
      <c r="E87" s="19">
        <v>44448</v>
      </c>
      <c r="F87" s="17" t="s">
        <v>12</v>
      </c>
      <c r="G87" s="16">
        <v>53870</v>
      </c>
      <c r="H87" t="s">
        <v>206</v>
      </c>
      <c r="I87" s="17">
        <f ca="1">(TODAY()-staff[[#This Row],[Date Joined]])/365</f>
        <v>4.3150684931506849</v>
      </c>
    </row>
    <row r="88" spans="1:9" x14ac:dyDescent="0.3">
      <c r="A88" s="17" t="s">
        <v>141</v>
      </c>
      <c r="B88" s="17" t="s">
        <v>8</v>
      </c>
      <c r="C88">
        <v>36</v>
      </c>
      <c r="D88" t="s">
        <v>16</v>
      </c>
      <c r="E88" s="19">
        <v>44433</v>
      </c>
      <c r="F88" s="17" t="s">
        <v>19</v>
      </c>
      <c r="G88" s="16">
        <v>78540</v>
      </c>
      <c r="H88" t="s">
        <v>206</v>
      </c>
      <c r="I88" s="17">
        <f ca="1">(TODAY()-staff[[#This Row],[Date Joined]])/365</f>
        <v>4.3561643835616435</v>
      </c>
    </row>
    <row r="89" spans="1:9" x14ac:dyDescent="0.3">
      <c r="A89" s="17" t="s">
        <v>193</v>
      </c>
      <c r="B89" s="17" t="s">
        <v>15</v>
      </c>
      <c r="C89">
        <v>19</v>
      </c>
      <c r="D89" t="s">
        <v>16</v>
      </c>
      <c r="E89" s="19">
        <v>44218</v>
      </c>
      <c r="F89" s="17" t="s">
        <v>9</v>
      </c>
      <c r="G89" s="16">
        <v>58960</v>
      </c>
      <c r="H89" t="s">
        <v>206</v>
      </c>
      <c r="I89" s="17">
        <f ca="1">(TODAY()-staff[[#This Row],[Date Joined]])/365</f>
        <v>4.9452054794520546</v>
      </c>
    </row>
    <row r="90" spans="1:9" x14ac:dyDescent="0.3">
      <c r="A90" s="17" t="s">
        <v>162</v>
      </c>
      <c r="B90" s="17" t="s">
        <v>15</v>
      </c>
      <c r="C90">
        <v>46</v>
      </c>
      <c r="D90" t="s">
        <v>16</v>
      </c>
      <c r="E90" s="19">
        <v>44697</v>
      </c>
      <c r="F90" s="17" t="s">
        <v>9</v>
      </c>
      <c r="G90" s="16">
        <v>70610</v>
      </c>
      <c r="H90" t="s">
        <v>206</v>
      </c>
      <c r="I90" s="17">
        <f ca="1">(TODAY()-staff[[#This Row],[Date Joined]])/365</f>
        <v>3.6328767123287671</v>
      </c>
    </row>
    <row r="91" spans="1:9" x14ac:dyDescent="0.3">
      <c r="A91" s="17" t="s">
        <v>171</v>
      </c>
      <c r="B91" s="17" t="s">
        <v>15</v>
      </c>
      <c r="C91">
        <v>33</v>
      </c>
      <c r="D91" t="s">
        <v>16</v>
      </c>
      <c r="E91" s="19">
        <v>44181</v>
      </c>
      <c r="F91" s="17" t="s">
        <v>21</v>
      </c>
      <c r="G91" s="16">
        <v>59430</v>
      </c>
      <c r="H91" t="s">
        <v>206</v>
      </c>
      <c r="I91" s="17">
        <f ca="1">(TODAY()-staff[[#This Row],[Date Joined]])/365</f>
        <v>5.0465753424657533</v>
      </c>
    </row>
    <row r="92" spans="1:9" x14ac:dyDescent="0.3">
      <c r="A92" s="17" t="s">
        <v>144</v>
      </c>
      <c r="B92" s="17" t="s">
        <v>15</v>
      </c>
      <c r="C92">
        <v>33</v>
      </c>
      <c r="D92" t="s">
        <v>13</v>
      </c>
      <c r="E92" s="19">
        <v>44640</v>
      </c>
      <c r="F92" s="17" t="s">
        <v>9</v>
      </c>
      <c r="G92" s="16">
        <v>48530</v>
      </c>
      <c r="H92" t="s">
        <v>206</v>
      </c>
      <c r="I92" s="17">
        <f ca="1">(TODAY()-staff[[#This Row],[Date Joined]])/365</f>
        <v>3.7890410958904108</v>
      </c>
    </row>
    <row r="93" spans="1:9" x14ac:dyDescent="0.3">
      <c r="A93" s="17" t="s">
        <v>163</v>
      </c>
      <c r="B93" s="17" t="s">
        <v>8</v>
      </c>
      <c r="C93">
        <v>33</v>
      </c>
      <c r="D93" t="s">
        <v>16</v>
      </c>
      <c r="E93" s="19">
        <v>44129</v>
      </c>
      <c r="F93" s="17" t="s">
        <v>12</v>
      </c>
      <c r="G93" s="16">
        <v>96140</v>
      </c>
      <c r="H93" t="s">
        <v>206</v>
      </c>
      <c r="I93" s="17">
        <f ca="1">(TODAY()-staff[[#This Row],[Date Joined]])/365</f>
        <v>5.1890410958904107</v>
      </c>
    </row>
    <row r="94" spans="1:9" x14ac:dyDescent="0.3">
      <c r="A94" s="17" t="s">
        <v>58</v>
      </c>
      <c r="B94" s="17" t="s">
        <v>15</v>
      </c>
      <c r="C94">
        <v>22</v>
      </c>
      <c r="D94" t="s">
        <v>13</v>
      </c>
      <c r="E94" s="19">
        <v>44446</v>
      </c>
      <c r="F94" s="17" t="s">
        <v>19</v>
      </c>
      <c r="G94" s="16">
        <v>112780</v>
      </c>
      <c r="H94" t="s">
        <v>205</v>
      </c>
      <c r="I94" s="17">
        <f ca="1">(TODAY()-staff[[#This Row],[Date Joined]])/365</f>
        <v>4.3205479452054796</v>
      </c>
    </row>
    <row r="95" spans="1:9" x14ac:dyDescent="0.3">
      <c r="A95" s="17" t="s">
        <v>70</v>
      </c>
      <c r="B95" s="17" t="s">
        <v>15</v>
      </c>
      <c r="C95">
        <v>46</v>
      </c>
      <c r="D95" t="s">
        <v>16</v>
      </c>
      <c r="E95" s="19">
        <v>44758</v>
      </c>
      <c r="F95" s="17" t="s">
        <v>9</v>
      </c>
      <c r="G95" s="16">
        <v>70610</v>
      </c>
      <c r="H95" t="s">
        <v>205</v>
      </c>
      <c r="I95" s="17">
        <f ca="1">(TODAY()-staff[[#This Row],[Date Joined]])/365</f>
        <v>3.4657534246575343</v>
      </c>
    </row>
    <row r="96" spans="1:9" x14ac:dyDescent="0.3">
      <c r="A96" s="17" t="s">
        <v>75</v>
      </c>
      <c r="B96" s="17" t="s">
        <v>8</v>
      </c>
      <c r="C96">
        <v>28</v>
      </c>
      <c r="D96" t="s">
        <v>16</v>
      </c>
      <c r="E96" s="19">
        <v>44357</v>
      </c>
      <c r="F96" s="17" t="s">
        <v>19</v>
      </c>
      <c r="G96" s="16">
        <v>53240</v>
      </c>
      <c r="H96" t="s">
        <v>205</v>
      </c>
      <c r="I96" s="17">
        <f ca="1">(TODAY()-staff[[#This Row],[Date Joined]])/365</f>
        <v>4.5643835616438357</v>
      </c>
    </row>
    <row r="97" spans="1:9" x14ac:dyDescent="0.3">
      <c r="A97" s="17" t="s">
        <v>49</v>
      </c>
      <c r="B97" s="17" t="s">
        <v>207</v>
      </c>
      <c r="C97">
        <v>37</v>
      </c>
      <c r="D97" t="s">
        <v>24</v>
      </c>
      <c r="E97" s="19">
        <v>44146</v>
      </c>
      <c r="F97" s="17" t="s">
        <v>21</v>
      </c>
      <c r="G97" s="16">
        <v>115440</v>
      </c>
      <c r="H97" t="s">
        <v>205</v>
      </c>
      <c r="I97" s="17">
        <f ca="1">(TODAY()-staff[[#This Row],[Date Joined]])/365</f>
        <v>5.1424657534246574</v>
      </c>
    </row>
    <row r="98" spans="1:9" x14ac:dyDescent="0.3">
      <c r="A98" s="17" t="s">
        <v>65</v>
      </c>
      <c r="B98" s="17" t="s">
        <v>15</v>
      </c>
      <c r="C98">
        <v>32</v>
      </c>
      <c r="D98" t="s">
        <v>16</v>
      </c>
      <c r="E98" s="19">
        <v>44465</v>
      </c>
      <c r="F98" s="17" t="s">
        <v>19</v>
      </c>
      <c r="G98" s="16">
        <v>53540</v>
      </c>
      <c r="H98" t="s">
        <v>205</v>
      </c>
      <c r="I98" s="17">
        <f ca="1">(TODAY()-staff[[#This Row],[Date Joined]])/365</f>
        <v>4.2684931506849315</v>
      </c>
    </row>
    <row r="99" spans="1:9" x14ac:dyDescent="0.3">
      <c r="A99" s="17" t="s">
        <v>81</v>
      </c>
      <c r="B99" s="17" t="s">
        <v>8</v>
      </c>
      <c r="C99">
        <v>30</v>
      </c>
      <c r="D99" t="s">
        <v>16</v>
      </c>
      <c r="E99" s="19">
        <v>44861</v>
      </c>
      <c r="F99" s="17" t="s">
        <v>9</v>
      </c>
      <c r="G99" s="16">
        <v>112570</v>
      </c>
      <c r="H99" t="s">
        <v>205</v>
      </c>
      <c r="I99" s="17">
        <f ca="1">(TODAY()-staff[[#This Row],[Date Joined]])/365</f>
        <v>3.1835616438356165</v>
      </c>
    </row>
    <row r="100" spans="1:9" x14ac:dyDescent="0.3">
      <c r="A100" s="17" t="s">
        <v>51</v>
      </c>
      <c r="B100" s="17" t="s">
        <v>15</v>
      </c>
      <c r="C100">
        <v>33</v>
      </c>
      <c r="D100" t="s">
        <v>13</v>
      </c>
      <c r="E100" s="19">
        <v>44701</v>
      </c>
      <c r="F100" s="17" t="s">
        <v>9</v>
      </c>
      <c r="G100" s="16">
        <v>48530</v>
      </c>
      <c r="H100" t="s">
        <v>205</v>
      </c>
      <c r="I100" s="17">
        <f ca="1">(TODAY()-staff[[#This Row],[Date Joined]])/365</f>
        <v>3.6219178082191781</v>
      </c>
    </row>
    <row r="101" spans="1:9" x14ac:dyDescent="0.3">
      <c r="A101" s="17" t="s">
        <v>61</v>
      </c>
      <c r="B101" s="17" t="s">
        <v>8</v>
      </c>
      <c r="C101">
        <v>24</v>
      </c>
      <c r="D101" t="s">
        <v>16</v>
      </c>
      <c r="E101" s="19">
        <v>44148</v>
      </c>
      <c r="F101" s="17" t="s">
        <v>12</v>
      </c>
      <c r="G101" s="16">
        <v>62780</v>
      </c>
      <c r="H101" t="s">
        <v>205</v>
      </c>
      <c r="I101" s="17">
        <f ca="1">(TODAY()-staff[[#This Row],[Date Joined]])/365</f>
        <v>5.1369863013698627</v>
      </c>
    </row>
    <row r="102" spans="1:9" x14ac:dyDescent="0.3">
      <c r="A102" s="17" t="s">
        <v>82</v>
      </c>
      <c r="B102" s="17" t="s">
        <v>15</v>
      </c>
      <c r="C102">
        <v>33</v>
      </c>
      <c r="D102" t="s">
        <v>16</v>
      </c>
      <c r="E102" s="19">
        <v>44509</v>
      </c>
      <c r="F102" s="17" t="s">
        <v>12</v>
      </c>
      <c r="G102" s="16">
        <v>53870</v>
      </c>
      <c r="H102" t="s">
        <v>205</v>
      </c>
      <c r="I102" s="17">
        <f ca="1">(TODAY()-staff[[#This Row],[Date Joined]])/365</f>
        <v>4.1479452054794521</v>
      </c>
    </row>
    <row r="103" spans="1:9" x14ac:dyDescent="0.3">
      <c r="A103" s="17" t="s">
        <v>60</v>
      </c>
      <c r="B103" s="17" t="s">
        <v>8</v>
      </c>
      <c r="C103">
        <v>27</v>
      </c>
      <c r="D103" t="s">
        <v>16</v>
      </c>
      <c r="E103" s="19">
        <v>44122</v>
      </c>
      <c r="F103" s="17" t="s">
        <v>56</v>
      </c>
      <c r="G103" s="16">
        <v>119110</v>
      </c>
      <c r="H103" t="s">
        <v>205</v>
      </c>
      <c r="I103" s="17">
        <f ca="1">(TODAY()-staff[[#This Row],[Date Joined]])/365</f>
        <v>5.2082191780821914</v>
      </c>
    </row>
    <row r="104" spans="1:9" x14ac:dyDescent="0.3">
      <c r="A104" s="17" t="s">
        <v>87</v>
      </c>
      <c r="B104" s="17" t="s">
        <v>15</v>
      </c>
      <c r="C104">
        <v>29</v>
      </c>
      <c r="D104" t="s">
        <v>24</v>
      </c>
      <c r="E104" s="19">
        <v>44180</v>
      </c>
      <c r="F104" s="17" t="s">
        <v>12</v>
      </c>
      <c r="G104" s="16">
        <v>112110</v>
      </c>
      <c r="H104" t="s">
        <v>205</v>
      </c>
      <c r="I104" s="17">
        <f ca="1">(TODAY()-staff[[#This Row],[Date Joined]])/365</f>
        <v>5.0493150684931507</v>
      </c>
    </row>
    <row r="105" spans="1:9" x14ac:dyDescent="0.3">
      <c r="A105" s="17" t="s">
        <v>76</v>
      </c>
      <c r="B105" s="17" t="s">
        <v>15</v>
      </c>
      <c r="C105">
        <v>25</v>
      </c>
      <c r="D105" t="s">
        <v>16</v>
      </c>
      <c r="E105" s="19">
        <v>44383</v>
      </c>
      <c r="F105" s="17" t="s">
        <v>19</v>
      </c>
      <c r="G105" s="16">
        <v>65700</v>
      </c>
      <c r="H105" t="s">
        <v>205</v>
      </c>
      <c r="I105" s="17">
        <f ca="1">(TODAY()-staff[[#This Row],[Date Joined]])/365</f>
        <v>4.493150684931507</v>
      </c>
    </row>
    <row r="106" spans="1:9" x14ac:dyDescent="0.3">
      <c r="A106" s="17" t="s">
        <v>97</v>
      </c>
      <c r="B106" s="17" t="s">
        <v>15</v>
      </c>
      <c r="C106">
        <v>37</v>
      </c>
      <c r="D106" t="s">
        <v>16</v>
      </c>
      <c r="E106" s="19">
        <v>44701</v>
      </c>
      <c r="F106" s="17" t="s">
        <v>12</v>
      </c>
      <c r="G106" s="16">
        <v>69070</v>
      </c>
      <c r="H106" t="s">
        <v>205</v>
      </c>
      <c r="I106" s="17">
        <f ca="1">(TODAY()-staff[[#This Row],[Date Joined]])/365</f>
        <v>3.6219178082191781</v>
      </c>
    </row>
    <row r="107" spans="1:9" x14ac:dyDescent="0.3">
      <c r="A107" s="17" t="s">
        <v>22</v>
      </c>
      <c r="B107" s="17" t="s">
        <v>15</v>
      </c>
      <c r="C107">
        <v>20</v>
      </c>
      <c r="D107" t="s">
        <v>16</v>
      </c>
      <c r="E107" s="19">
        <v>44459</v>
      </c>
      <c r="F107" s="17" t="s">
        <v>12</v>
      </c>
      <c r="G107" s="16">
        <v>107700</v>
      </c>
      <c r="H107" t="s">
        <v>205</v>
      </c>
      <c r="I107" s="17">
        <f ca="1">(TODAY()-staff[[#This Row],[Date Joined]])/365</f>
        <v>4.2849315068493148</v>
      </c>
    </row>
    <row r="108" spans="1:9" x14ac:dyDescent="0.3">
      <c r="A108" s="17" t="s">
        <v>84</v>
      </c>
      <c r="B108" s="17" t="s">
        <v>8</v>
      </c>
      <c r="C108">
        <v>32</v>
      </c>
      <c r="D108" t="s">
        <v>13</v>
      </c>
      <c r="E108" s="19">
        <v>44354</v>
      </c>
      <c r="F108" s="17" t="s">
        <v>12</v>
      </c>
      <c r="G108" s="16">
        <v>43840</v>
      </c>
      <c r="H108" t="s">
        <v>205</v>
      </c>
      <c r="I108" s="17">
        <f ca="1">(TODAY()-staff[[#This Row],[Date Joined]])/365</f>
        <v>4.5726027397260278</v>
      </c>
    </row>
    <row r="109" spans="1:9" x14ac:dyDescent="0.3">
      <c r="A109" s="17" t="s">
        <v>105</v>
      </c>
      <c r="B109" s="17" t="s">
        <v>15</v>
      </c>
      <c r="C109">
        <v>40</v>
      </c>
      <c r="D109" t="s">
        <v>16</v>
      </c>
      <c r="E109" s="19">
        <v>44263</v>
      </c>
      <c r="F109" s="17" t="s">
        <v>9</v>
      </c>
      <c r="G109" s="16">
        <v>99750</v>
      </c>
      <c r="H109" t="s">
        <v>205</v>
      </c>
      <c r="I109" s="17">
        <f ca="1">(TODAY()-staff[[#This Row],[Date Joined]])/365</f>
        <v>4.8219178082191778</v>
      </c>
    </row>
    <row r="110" spans="1:9" x14ac:dyDescent="0.3">
      <c r="A110" s="17" t="s">
        <v>47</v>
      </c>
      <c r="B110" s="17" t="s">
        <v>15</v>
      </c>
      <c r="C110">
        <v>21</v>
      </c>
      <c r="D110" t="s">
        <v>16</v>
      </c>
      <c r="E110" s="19">
        <v>44104</v>
      </c>
      <c r="F110" s="17" t="s">
        <v>9</v>
      </c>
      <c r="G110" s="16">
        <v>37920</v>
      </c>
      <c r="H110" t="s">
        <v>205</v>
      </c>
      <c r="I110" s="17">
        <f ca="1">(TODAY()-staff[[#This Row],[Date Joined]])/365</f>
        <v>5.2575342465753421</v>
      </c>
    </row>
    <row r="111" spans="1:9" x14ac:dyDescent="0.3">
      <c r="A111" s="17" t="s">
        <v>31</v>
      </c>
      <c r="B111" s="17" t="s">
        <v>15</v>
      </c>
      <c r="C111">
        <v>21</v>
      </c>
      <c r="D111" t="s">
        <v>16</v>
      </c>
      <c r="E111" s="19">
        <v>44762</v>
      </c>
      <c r="F111" s="17" t="s">
        <v>9</v>
      </c>
      <c r="G111" s="16">
        <v>57090</v>
      </c>
      <c r="H111" t="s">
        <v>205</v>
      </c>
      <c r="I111" s="17">
        <f ca="1">(TODAY()-staff[[#This Row],[Date Joined]])/365</f>
        <v>3.4547945205479453</v>
      </c>
    </row>
    <row r="112" spans="1:9" x14ac:dyDescent="0.3">
      <c r="A112" s="17" t="s">
        <v>30</v>
      </c>
      <c r="B112" s="17" t="s">
        <v>8</v>
      </c>
      <c r="C112">
        <v>31</v>
      </c>
      <c r="D112" t="s">
        <v>16</v>
      </c>
      <c r="E112" s="19">
        <v>44145</v>
      </c>
      <c r="F112" s="17" t="s">
        <v>12</v>
      </c>
      <c r="G112" s="16">
        <v>41980</v>
      </c>
      <c r="H112" t="s">
        <v>205</v>
      </c>
      <c r="I112" s="17">
        <f ca="1">(TODAY()-staff[[#This Row],[Date Joined]])/365</f>
        <v>5.1452054794520548</v>
      </c>
    </row>
    <row r="113" spans="1:9" x14ac:dyDescent="0.3">
      <c r="A113" s="17" t="s">
        <v>78</v>
      </c>
      <c r="B113" s="17" t="s">
        <v>15</v>
      </c>
      <c r="C113">
        <v>21</v>
      </c>
      <c r="D113" t="s">
        <v>16</v>
      </c>
      <c r="E113" s="19">
        <v>44242</v>
      </c>
      <c r="F113" s="17" t="s">
        <v>56</v>
      </c>
      <c r="G113" s="16">
        <v>75880</v>
      </c>
      <c r="H113" t="s">
        <v>205</v>
      </c>
      <c r="I113" s="17">
        <f ca="1">(TODAY()-staff[[#This Row],[Date Joined]])/365</f>
        <v>4.8794520547945206</v>
      </c>
    </row>
    <row r="114" spans="1:9" x14ac:dyDescent="0.3">
      <c r="A114" s="17" t="s">
        <v>36</v>
      </c>
      <c r="B114" s="17" t="s">
        <v>8</v>
      </c>
      <c r="C114">
        <v>34</v>
      </c>
      <c r="D114" t="s">
        <v>16</v>
      </c>
      <c r="E114" s="19">
        <v>44653</v>
      </c>
      <c r="F114" s="17" t="s">
        <v>21</v>
      </c>
      <c r="G114" s="16">
        <v>58940</v>
      </c>
      <c r="H114" t="s">
        <v>205</v>
      </c>
      <c r="I114" s="17">
        <f ca="1">(TODAY()-staff[[#This Row],[Date Joined]])/365</f>
        <v>3.7534246575342465</v>
      </c>
    </row>
    <row r="115" spans="1:9" x14ac:dyDescent="0.3">
      <c r="A115" s="17" t="s">
        <v>27</v>
      </c>
      <c r="B115" s="17" t="s">
        <v>8</v>
      </c>
      <c r="C115">
        <v>30</v>
      </c>
      <c r="D115" t="s">
        <v>24</v>
      </c>
      <c r="E115" s="19">
        <v>44389</v>
      </c>
      <c r="F115" s="17" t="s">
        <v>21</v>
      </c>
      <c r="G115" s="16">
        <v>67910</v>
      </c>
      <c r="H115" t="s">
        <v>205</v>
      </c>
      <c r="I115" s="17">
        <f ca="1">(TODAY()-staff[[#This Row],[Date Joined]])/365</f>
        <v>4.4767123287671229</v>
      </c>
    </row>
    <row r="116" spans="1:9" x14ac:dyDescent="0.3">
      <c r="A116" s="17" t="s">
        <v>26</v>
      </c>
      <c r="B116" s="17" t="s">
        <v>8</v>
      </c>
      <c r="C116">
        <v>31</v>
      </c>
      <c r="D116" t="s">
        <v>16</v>
      </c>
      <c r="E116" s="19">
        <v>44663</v>
      </c>
      <c r="F116" s="17" t="s">
        <v>12</v>
      </c>
      <c r="G116" s="16">
        <v>58100</v>
      </c>
      <c r="H116" t="s">
        <v>205</v>
      </c>
      <c r="I116" s="17">
        <f ca="1">(TODAY()-staff[[#This Row],[Date Joined]])/365</f>
        <v>3.7260273972602738</v>
      </c>
    </row>
    <row r="117" spans="1:9" x14ac:dyDescent="0.3">
      <c r="A117" s="17" t="s">
        <v>53</v>
      </c>
      <c r="B117" s="17" t="s">
        <v>15</v>
      </c>
      <c r="C117">
        <v>27</v>
      </c>
      <c r="D117" t="s">
        <v>16</v>
      </c>
      <c r="E117" s="19">
        <v>44567</v>
      </c>
      <c r="F117" s="17" t="s">
        <v>21</v>
      </c>
      <c r="G117" s="16">
        <v>48980</v>
      </c>
      <c r="H117" t="s">
        <v>205</v>
      </c>
      <c r="I117" s="17">
        <f ca="1">(TODAY()-staff[[#This Row],[Date Joined]])/365</f>
        <v>3.989041095890411</v>
      </c>
    </row>
    <row r="118" spans="1:9" x14ac:dyDescent="0.3">
      <c r="A118" s="17" t="s">
        <v>20</v>
      </c>
      <c r="B118" s="17" t="s">
        <v>207</v>
      </c>
      <c r="C118">
        <v>30</v>
      </c>
      <c r="D118" t="s">
        <v>16</v>
      </c>
      <c r="E118" s="19">
        <v>44597</v>
      </c>
      <c r="F118" s="17" t="s">
        <v>21</v>
      </c>
      <c r="G118" s="16">
        <v>64000</v>
      </c>
      <c r="H118" t="s">
        <v>205</v>
      </c>
      <c r="I118" s="17">
        <f ca="1">(TODAY()-staff[[#This Row],[Date Joined]])/365</f>
        <v>3.9068493150684933</v>
      </c>
    </row>
    <row r="119" spans="1:9" x14ac:dyDescent="0.3">
      <c r="A119" s="17" t="s">
        <v>7</v>
      </c>
      <c r="B119" s="17" t="s">
        <v>8</v>
      </c>
      <c r="C119">
        <v>42</v>
      </c>
      <c r="D119" t="s">
        <v>10</v>
      </c>
      <c r="E119" s="19">
        <v>44779</v>
      </c>
      <c r="F119" s="17" t="s">
        <v>9</v>
      </c>
      <c r="G119" s="16">
        <v>75000</v>
      </c>
      <c r="H119" t="s">
        <v>205</v>
      </c>
      <c r="I119" s="17">
        <f ca="1">(TODAY()-staff[[#This Row],[Date Joined]])/365</f>
        <v>3.408219178082192</v>
      </c>
    </row>
    <row r="120" spans="1:9" x14ac:dyDescent="0.3">
      <c r="A120" s="17" t="s">
        <v>74</v>
      </c>
      <c r="B120" s="17" t="s">
        <v>8</v>
      </c>
      <c r="C120">
        <v>40</v>
      </c>
      <c r="D120" t="s">
        <v>16</v>
      </c>
      <c r="E120" s="19">
        <v>44337</v>
      </c>
      <c r="F120" s="17" t="s">
        <v>12</v>
      </c>
      <c r="G120" s="16">
        <v>87620</v>
      </c>
      <c r="H120" t="s">
        <v>205</v>
      </c>
      <c r="I120" s="17">
        <f ca="1">(TODAY()-staff[[#This Row],[Date Joined]])/365</f>
        <v>4.6191780821917812</v>
      </c>
    </row>
    <row r="121" spans="1:9" x14ac:dyDescent="0.3">
      <c r="A121" s="17" t="s">
        <v>44</v>
      </c>
      <c r="B121" s="17" t="s">
        <v>8</v>
      </c>
      <c r="C121">
        <v>29</v>
      </c>
      <c r="D121" t="s">
        <v>16</v>
      </c>
      <c r="E121" s="19">
        <v>44023</v>
      </c>
      <c r="F121" s="17" t="s">
        <v>12</v>
      </c>
      <c r="G121" s="16">
        <v>34980</v>
      </c>
      <c r="H121" t="s">
        <v>205</v>
      </c>
      <c r="I121" s="17">
        <f ca="1">(TODAY()-staff[[#This Row],[Date Joined]])/365</f>
        <v>5.4794520547945202</v>
      </c>
    </row>
    <row r="122" spans="1:9" x14ac:dyDescent="0.3">
      <c r="A122" s="17" t="s">
        <v>35</v>
      </c>
      <c r="B122" s="17" t="s">
        <v>8</v>
      </c>
      <c r="C122">
        <v>28</v>
      </c>
      <c r="D122" t="s">
        <v>16</v>
      </c>
      <c r="E122" s="19">
        <v>44185</v>
      </c>
      <c r="F122" s="17" t="s">
        <v>21</v>
      </c>
      <c r="G122" s="16">
        <v>75970</v>
      </c>
      <c r="H122" t="s">
        <v>205</v>
      </c>
      <c r="I122" s="17">
        <f ca="1">(TODAY()-staff[[#This Row],[Date Joined]])/365</f>
        <v>5.0356164383561648</v>
      </c>
    </row>
    <row r="123" spans="1:9" x14ac:dyDescent="0.3">
      <c r="A123" s="17" t="s">
        <v>38</v>
      </c>
      <c r="B123" s="17" t="s">
        <v>8</v>
      </c>
      <c r="C123">
        <v>34</v>
      </c>
      <c r="D123" t="s">
        <v>16</v>
      </c>
      <c r="E123" s="19">
        <v>44612</v>
      </c>
      <c r="F123" s="17" t="s">
        <v>21</v>
      </c>
      <c r="G123" s="16">
        <v>60130</v>
      </c>
      <c r="H123" t="s">
        <v>205</v>
      </c>
      <c r="I123" s="17">
        <f ca="1">(TODAY()-staff[[#This Row],[Date Joined]])/365</f>
        <v>3.8657534246575342</v>
      </c>
    </row>
    <row r="124" spans="1:9" x14ac:dyDescent="0.3">
      <c r="A124" s="17" t="s">
        <v>41</v>
      </c>
      <c r="B124" s="17" t="s">
        <v>8</v>
      </c>
      <c r="C124">
        <v>33</v>
      </c>
      <c r="D124" t="s">
        <v>42</v>
      </c>
      <c r="E124" s="19">
        <v>44374</v>
      </c>
      <c r="F124" s="17" t="s">
        <v>12</v>
      </c>
      <c r="G124" s="16">
        <v>75480</v>
      </c>
      <c r="H124" t="s">
        <v>205</v>
      </c>
      <c r="I124" s="17">
        <f ca="1">(TODAY()-staff[[#This Row],[Date Joined]])/365</f>
        <v>4.5178082191780824</v>
      </c>
    </row>
    <row r="125" spans="1:9" x14ac:dyDescent="0.3">
      <c r="A125" s="17" t="s">
        <v>40</v>
      </c>
      <c r="B125" s="17" t="s">
        <v>15</v>
      </c>
      <c r="C125">
        <v>33</v>
      </c>
      <c r="D125" t="s">
        <v>16</v>
      </c>
      <c r="E125" s="19">
        <v>44164</v>
      </c>
      <c r="F125" s="17" t="s">
        <v>9</v>
      </c>
      <c r="G125" s="16">
        <v>115920</v>
      </c>
      <c r="H125" t="s">
        <v>205</v>
      </c>
      <c r="I125" s="17">
        <f ca="1">(TODAY()-staff[[#This Row],[Date Joined]])/365</f>
        <v>5.0931506849315067</v>
      </c>
    </row>
    <row r="126" spans="1:9" x14ac:dyDescent="0.3">
      <c r="A126" s="17" t="s">
        <v>48</v>
      </c>
      <c r="B126" s="17" t="s">
        <v>8</v>
      </c>
      <c r="C126">
        <v>36</v>
      </c>
      <c r="D126" t="s">
        <v>16</v>
      </c>
      <c r="E126" s="19">
        <v>44494</v>
      </c>
      <c r="F126" s="17" t="s">
        <v>19</v>
      </c>
      <c r="G126" s="16">
        <v>78540</v>
      </c>
      <c r="H126" t="s">
        <v>205</v>
      </c>
      <c r="I126" s="17">
        <f ca="1">(TODAY()-staff[[#This Row],[Date Joined]])/365</f>
        <v>4.1890410958904107</v>
      </c>
    </row>
    <row r="127" spans="1:9" x14ac:dyDescent="0.3">
      <c r="A127" s="17" t="s">
        <v>34</v>
      </c>
      <c r="B127" s="17" t="s">
        <v>15</v>
      </c>
      <c r="C127">
        <v>25</v>
      </c>
      <c r="D127" t="s">
        <v>13</v>
      </c>
      <c r="E127" s="19">
        <v>44726</v>
      </c>
      <c r="F127" s="17" t="s">
        <v>9</v>
      </c>
      <c r="G127" s="16">
        <v>109190</v>
      </c>
      <c r="H127" t="s">
        <v>205</v>
      </c>
      <c r="I127" s="17">
        <f ca="1">(TODAY()-staff[[#This Row],[Date Joined]])/365</f>
        <v>3.5534246575342467</v>
      </c>
    </row>
    <row r="128" spans="1:9" x14ac:dyDescent="0.3">
      <c r="A128" s="17" t="s">
        <v>73</v>
      </c>
      <c r="B128" s="17" t="s">
        <v>8</v>
      </c>
      <c r="C128">
        <v>34</v>
      </c>
      <c r="D128" t="s">
        <v>24</v>
      </c>
      <c r="E128" s="19">
        <v>44721</v>
      </c>
      <c r="F128" s="17" t="s">
        <v>19</v>
      </c>
      <c r="G128" s="16">
        <v>49630</v>
      </c>
      <c r="H128" t="s">
        <v>205</v>
      </c>
      <c r="I128" s="17">
        <f ca="1">(TODAY()-staff[[#This Row],[Date Joined]])/365</f>
        <v>3.5671232876712327</v>
      </c>
    </row>
    <row r="129" spans="1:9" x14ac:dyDescent="0.3">
      <c r="A129" s="17" t="s">
        <v>107</v>
      </c>
      <c r="B129" s="17" t="s">
        <v>8</v>
      </c>
      <c r="C129">
        <v>28</v>
      </c>
      <c r="D129" t="s">
        <v>16</v>
      </c>
      <c r="E129" s="19">
        <v>44630</v>
      </c>
      <c r="F129" s="17" t="s">
        <v>9</v>
      </c>
      <c r="G129" s="16">
        <v>99970</v>
      </c>
      <c r="H129" t="s">
        <v>205</v>
      </c>
      <c r="I129" s="17">
        <f ca="1">(TODAY()-staff[[#This Row],[Date Joined]])/365</f>
        <v>3.8164383561643835</v>
      </c>
    </row>
    <row r="130" spans="1:9" x14ac:dyDescent="0.3">
      <c r="A130" s="17" t="s">
        <v>71</v>
      </c>
      <c r="B130" s="17" t="s">
        <v>8</v>
      </c>
      <c r="C130">
        <v>33</v>
      </c>
      <c r="D130" t="s">
        <v>16</v>
      </c>
      <c r="E130" s="19">
        <v>44190</v>
      </c>
      <c r="F130" s="17" t="s">
        <v>12</v>
      </c>
      <c r="G130" s="16">
        <v>96140</v>
      </c>
      <c r="H130" t="s">
        <v>205</v>
      </c>
      <c r="I130" s="17">
        <f ca="1">(TODAY()-staff[[#This Row],[Date Joined]])/365</f>
        <v>5.021917808219178</v>
      </c>
    </row>
    <row r="131" spans="1:9" x14ac:dyDescent="0.3">
      <c r="A131" s="17" t="s">
        <v>50</v>
      </c>
      <c r="B131" s="17" t="s">
        <v>15</v>
      </c>
      <c r="C131">
        <v>31</v>
      </c>
      <c r="D131" t="s">
        <v>16</v>
      </c>
      <c r="E131" s="19">
        <v>44724</v>
      </c>
      <c r="F131" s="17" t="s">
        <v>9</v>
      </c>
      <c r="G131" s="16">
        <v>103550</v>
      </c>
      <c r="H131" t="s">
        <v>205</v>
      </c>
      <c r="I131" s="17">
        <f ca="1">(TODAY()-staff[[#This Row],[Date Joined]])/365</f>
        <v>3.558904109589041</v>
      </c>
    </row>
    <row r="132" spans="1:9" x14ac:dyDescent="0.3">
      <c r="A132" s="17" t="s">
        <v>14</v>
      </c>
      <c r="B132" s="17" t="s">
        <v>15</v>
      </c>
      <c r="C132">
        <v>31</v>
      </c>
      <c r="D132" t="s">
        <v>16</v>
      </c>
      <c r="E132" s="19">
        <v>44511</v>
      </c>
      <c r="F132" s="17" t="s">
        <v>12</v>
      </c>
      <c r="G132" s="16">
        <v>48950</v>
      </c>
      <c r="H132" t="s">
        <v>205</v>
      </c>
      <c r="I132" s="17">
        <f ca="1">(TODAY()-staff[[#This Row],[Date Joined]])/365</f>
        <v>4.1424657534246574</v>
      </c>
    </row>
    <row r="133" spans="1:9" x14ac:dyDescent="0.3">
      <c r="A133" s="17" t="s">
        <v>63</v>
      </c>
      <c r="B133" s="17" t="s">
        <v>15</v>
      </c>
      <c r="C133">
        <v>24</v>
      </c>
      <c r="D133" t="s">
        <v>24</v>
      </c>
      <c r="E133" s="19">
        <v>44436</v>
      </c>
      <c r="F133" s="17" t="s">
        <v>21</v>
      </c>
      <c r="G133" s="16">
        <v>52610</v>
      </c>
      <c r="H133" t="s">
        <v>205</v>
      </c>
      <c r="I133" s="17">
        <f ca="1">(TODAY()-staff[[#This Row],[Date Joined]])/365</f>
        <v>4.3479452054794523</v>
      </c>
    </row>
    <row r="134" spans="1:9" x14ac:dyDescent="0.3">
      <c r="A134" s="17" t="s">
        <v>72</v>
      </c>
      <c r="B134" s="17" t="s">
        <v>8</v>
      </c>
      <c r="C134">
        <v>36</v>
      </c>
      <c r="D134" t="s">
        <v>16</v>
      </c>
      <c r="E134" s="19">
        <v>44529</v>
      </c>
      <c r="F134" s="17" t="s">
        <v>9</v>
      </c>
      <c r="G134" s="16">
        <v>78390</v>
      </c>
      <c r="H134" t="s">
        <v>205</v>
      </c>
      <c r="I134" s="17">
        <f ca="1">(TODAY()-staff[[#This Row],[Date Joined]])/365</f>
        <v>4.0931506849315067</v>
      </c>
    </row>
    <row r="135" spans="1:9" x14ac:dyDescent="0.3">
      <c r="A135" s="17" t="s">
        <v>88</v>
      </c>
      <c r="B135" s="17" t="s">
        <v>8</v>
      </c>
      <c r="C135">
        <v>33</v>
      </c>
      <c r="D135" t="s">
        <v>16</v>
      </c>
      <c r="E135" s="19">
        <v>44809</v>
      </c>
      <c r="F135" s="17" t="s">
        <v>21</v>
      </c>
      <c r="G135" s="16">
        <v>86570</v>
      </c>
      <c r="H135" t="s">
        <v>205</v>
      </c>
      <c r="I135" s="17">
        <f ca="1">(TODAY()-staff[[#This Row],[Date Joined]])/365</f>
        <v>3.3260273972602739</v>
      </c>
    </row>
    <row r="136" spans="1:9" x14ac:dyDescent="0.3">
      <c r="A136" s="17" t="s">
        <v>92</v>
      </c>
      <c r="B136" s="17" t="s">
        <v>8</v>
      </c>
      <c r="C136">
        <v>27</v>
      </c>
      <c r="D136" t="s">
        <v>16</v>
      </c>
      <c r="E136" s="19">
        <v>44686</v>
      </c>
      <c r="F136" s="17" t="s">
        <v>12</v>
      </c>
      <c r="G136" s="16">
        <v>83750</v>
      </c>
      <c r="H136" t="s">
        <v>205</v>
      </c>
      <c r="I136" s="17">
        <f ca="1">(TODAY()-staff[[#This Row],[Date Joined]])/365</f>
        <v>3.6630136986301371</v>
      </c>
    </row>
    <row r="137" spans="1:9" x14ac:dyDescent="0.3">
      <c r="A137" s="17" t="s">
        <v>102</v>
      </c>
      <c r="B137" s="17" t="s">
        <v>8</v>
      </c>
      <c r="C137">
        <v>34</v>
      </c>
      <c r="D137" t="s">
        <v>16</v>
      </c>
      <c r="E137" s="19">
        <v>44445</v>
      </c>
      <c r="F137" s="17" t="s">
        <v>21</v>
      </c>
      <c r="G137" s="16">
        <v>92450</v>
      </c>
      <c r="H137" t="s">
        <v>205</v>
      </c>
      <c r="I137" s="17">
        <f ca="1">(TODAY()-staff[[#This Row],[Date Joined]])/365</f>
        <v>4.3232876712328769</v>
      </c>
    </row>
    <row r="138" spans="1:9" x14ac:dyDescent="0.3">
      <c r="A138" s="17" t="s">
        <v>64</v>
      </c>
      <c r="B138" s="17" t="s">
        <v>15</v>
      </c>
      <c r="C138">
        <v>20</v>
      </c>
      <c r="D138" t="s">
        <v>16</v>
      </c>
      <c r="E138" s="19">
        <v>44183</v>
      </c>
      <c r="F138" s="17" t="s">
        <v>12</v>
      </c>
      <c r="G138" s="16">
        <v>112650</v>
      </c>
      <c r="H138" t="s">
        <v>205</v>
      </c>
      <c r="I138" s="17">
        <f ca="1">(TODAY()-staff[[#This Row],[Date Joined]])/365</f>
        <v>5.0410958904109586</v>
      </c>
    </row>
    <row r="139" spans="1:9" x14ac:dyDescent="0.3">
      <c r="A139" s="17" t="s">
        <v>104</v>
      </c>
      <c r="B139" s="17" t="s">
        <v>15</v>
      </c>
      <c r="C139">
        <v>20</v>
      </c>
      <c r="D139" t="s">
        <v>16</v>
      </c>
      <c r="E139" s="19">
        <v>44744</v>
      </c>
      <c r="F139" s="17" t="s">
        <v>9</v>
      </c>
      <c r="G139" s="16">
        <v>79570</v>
      </c>
      <c r="H139" t="s">
        <v>205</v>
      </c>
      <c r="I139" s="17">
        <f ca="1">(TODAY()-staff[[#This Row],[Date Joined]])/365</f>
        <v>3.504109589041096</v>
      </c>
    </row>
    <row r="140" spans="1:9" x14ac:dyDescent="0.3">
      <c r="A140" s="17" t="s">
        <v>91</v>
      </c>
      <c r="B140" s="17" t="s">
        <v>8</v>
      </c>
      <c r="C140">
        <v>20</v>
      </c>
      <c r="D140" t="s">
        <v>24</v>
      </c>
      <c r="E140" s="19">
        <v>44537</v>
      </c>
      <c r="F140" s="17" t="s">
        <v>19</v>
      </c>
      <c r="G140" s="16">
        <v>68900</v>
      </c>
      <c r="H140" t="s">
        <v>205</v>
      </c>
      <c r="I140" s="17">
        <f ca="1">(TODAY()-staff[[#This Row],[Date Joined]])/365</f>
        <v>4.0712328767123287</v>
      </c>
    </row>
    <row r="141" spans="1:9" x14ac:dyDescent="0.3">
      <c r="A141" s="17" t="s">
        <v>39</v>
      </c>
      <c r="B141" s="17" t="s">
        <v>8</v>
      </c>
      <c r="C141">
        <v>25</v>
      </c>
      <c r="D141" t="s">
        <v>13</v>
      </c>
      <c r="E141" s="19">
        <v>44694</v>
      </c>
      <c r="F141" s="17" t="s">
        <v>12</v>
      </c>
      <c r="G141" s="16">
        <v>80700</v>
      </c>
      <c r="H141" t="s">
        <v>205</v>
      </c>
      <c r="I141" s="17">
        <f ca="1">(TODAY()-staff[[#This Row],[Date Joined]])/365</f>
        <v>3.6410958904109587</v>
      </c>
    </row>
    <row r="142" spans="1:9" x14ac:dyDescent="0.3">
      <c r="A142" s="17" t="s">
        <v>100</v>
      </c>
      <c r="B142" s="17" t="s">
        <v>15</v>
      </c>
      <c r="C142">
        <v>19</v>
      </c>
      <c r="D142" t="s">
        <v>16</v>
      </c>
      <c r="E142" s="19">
        <v>44277</v>
      </c>
      <c r="F142" s="17" t="s">
        <v>9</v>
      </c>
      <c r="G142" s="16">
        <v>58960</v>
      </c>
      <c r="H142" t="s">
        <v>205</v>
      </c>
      <c r="I142" s="17">
        <f ca="1">(TODAY()-staff[[#This Row],[Date Joined]])/365</f>
        <v>4.7835616438356166</v>
      </c>
    </row>
    <row r="143" spans="1:9" x14ac:dyDescent="0.3">
      <c r="A143" s="17" t="s">
        <v>106</v>
      </c>
      <c r="B143" s="17" t="s">
        <v>15</v>
      </c>
      <c r="C143">
        <v>36</v>
      </c>
      <c r="D143" t="s">
        <v>16</v>
      </c>
      <c r="E143" s="19">
        <v>44019</v>
      </c>
      <c r="F143" s="17" t="s">
        <v>12</v>
      </c>
      <c r="G143" s="16">
        <v>118840</v>
      </c>
      <c r="H143" t="s">
        <v>205</v>
      </c>
      <c r="I143" s="17">
        <f ca="1">(TODAY()-staff[[#This Row],[Date Joined]])/365</f>
        <v>5.4904109589041097</v>
      </c>
    </row>
    <row r="144" spans="1:9" x14ac:dyDescent="0.3">
      <c r="A144" s="17" t="s">
        <v>29</v>
      </c>
      <c r="B144" s="17" t="s">
        <v>15</v>
      </c>
      <c r="C144">
        <v>28</v>
      </c>
      <c r="D144" t="s">
        <v>13</v>
      </c>
      <c r="E144" s="19">
        <v>44041</v>
      </c>
      <c r="F144" s="17" t="s">
        <v>21</v>
      </c>
      <c r="G144" s="16">
        <v>48170</v>
      </c>
      <c r="H144" t="s">
        <v>205</v>
      </c>
      <c r="I144" s="17">
        <f ca="1">(TODAY()-staff[[#This Row],[Date Joined]])/365</f>
        <v>5.4301369863013695</v>
      </c>
    </row>
    <row r="145" spans="1:9" x14ac:dyDescent="0.3">
      <c r="A145" s="17" t="s">
        <v>108</v>
      </c>
      <c r="B145" s="17" t="s">
        <v>8</v>
      </c>
      <c r="C145">
        <v>32</v>
      </c>
      <c r="D145" t="s">
        <v>16</v>
      </c>
      <c r="E145" s="19">
        <v>44400</v>
      </c>
      <c r="F145" s="17" t="s">
        <v>56</v>
      </c>
      <c r="G145" s="16">
        <v>45510</v>
      </c>
      <c r="H145" t="s">
        <v>205</v>
      </c>
      <c r="I145" s="17">
        <f ca="1">(TODAY()-staff[[#This Row],[Date Joined]])/365</f>
        <v>4.4465753424657537</v>
      </c>
    </row>
    <row r="146" spans="1:9" x14ac:dyDescent="0.3">
      <c r="A146" s="17" t="s">
        <v>83</v>
      </c>
      <c r="B146" s="17" t="s">
        <v>8</v>
      </c>
      <c r="C146">
        <v>36</v>
      </c>
      <c r="D146" t="s">
        <v>16</v>
      </c>
      <c r="E146" s="19">
        <v>44085</v>
      </c>
      <c r="F146" s="17" t="s">
        <v>9</v>
      </c>
      <c r="G146" s="16">
        <v>114890</v>
      </c>
      <c r="H146" t="s">
        <v>205</v>
      </c>
      <c r="I146" s="17">
        <f ca="1">(TODAY()-staff[[#This Row],[Date Joined]])/365</f>
        <v>5.3095890410958901</v>
      </c>
    </row>
    <row r="147" spans="1:9" x14ac:dyDescent="0.3">
      <c r="A147" s="17" t="s">
        <v>67</v>
      </c>
      <c r="B147" s="17" t="s">
        <v>15</v>
      </c>
      <c r="C147">
        <v>30</v>
      </c>
      <c r="D147" t="s">
        <v>16</v>
      </c>
      <c r="E147" s="19">
        <v>44850</v>
      </c>
      <c r="F147" s="17" t="s">
        <v>12</v>
      </c>
      <c r="G147" s="16">
        <v>69710</v>
      </c>
      <c r="H147" t="s">
        <v>205</v>
      </c>
      <c r="I147" s="17">
        <f ca="1">(TODAY()-staff[[#This Row],[Date Joined]])/365</f>
        <v>3.2136986301369861</v>
      </c>
    </row>
    <row r="148" spans="1:9" x14ac:dyDescent="0.3">
      <c r="A148" s="17" t="s">
        <v>94</v>
      </c>
      <c r="B148" s="17" t="s">
        <v>15</v>
      </c>
      <c r="C148">
        <v>36</v>
      </c>
      <c r="D148" t="s">
        <v>16</v>
      </c>
      <c r="E148" s="19">
        <v>44333</v>
      </c>
      <c r="F148" s="17" t="s">
        <v>21</v>
      </c>
      <c r="G148" s="16">
        <v>71380</v>
      </c>
      <c r="H148" t="s">
        <v>205</v>
      </c>
      <c r="I148" s="17">
        <f ca="1">(TODAY()-staff[[#This Row],[Date Joined]])/365</f>
        <v>4.6301369863013697</v>
      </c>
    </row>
    <row r="149" spans="1:9" x14ac:dyDescent="0.3">
      <c r="A149" s="17" t="s">
        <v>33</v>
      </c>
      <c r="B149" s="17" t="s">
        <v>8</v>
      </c>
      <c r="C149">
        <v>38</v>
      </c>
      <c r="D149" t="s">
        <v>10</v>
      </c>
      <c r="E149" s="19">
        <v>44377</v>
      </c>
      <c r="F149" s="17" t="s">
        <v>19</v>
      </c>
      <c r="G149" s="16">
        <v>109160</v>
      </c>
      <c r="H149" t="s">
        <v>205</v>
      </c>
      <c r="I149" s="17">
        <f ca="1">(TODAY()-staff[[#This Row],[Date Joined]])/365</f>
        <v>4.5095890410958903</v>
      </c>
    </row>
    <row r="150" spans="1:9" x14ac:dyDescent="0.3">
      <c r="A150" s="17" t="s">
        <v>98</v>
      </c>
      <c r="B150" s="17" t="s">
        <v>15</v>
      </c>
      <c r="C150">
        <v>27</v>
      </c>
      <c r="D150" t="s">
        <v>42</v>
      </c>
      <c r="E150" s="19">
        <v>44609</v>
      </c>
      <c r="F150" s="17" t="s">
        <v>9</v>
      </c>
      <c r="G150" s="16">
        <v>113280</v>
      </c>
      <c r="H150" t="s">
        <v>205</v>
      </c>
      <c r="I150" s="17">
        <f ca="1">(TODAY()-staff[[#This Row],[Date Joined]])/365</f>
        <v>3.8739726027397259</v>
      </c>
    </row>
    <row r="151" spans="1:9" x14ac:dyDescent="0.3">
      <c r="A151" s="17" t="s">
        <v>25</v>
      </c>
      <c r="B151" s="17" t="s">
        <v>15</v>
      </c>
      <c r="C151">
        <v>30</v>
      </c>
      <c r="D151" t="s">
        <v>16</v>
      </c>
      <c r="E151" s="19">
        <v>44273</v>
      </c>
      <c r="F151" s="17" t="s">
        <v>12</v>
      </c>
      <c r="G151" s="16">
        <v>69120</v>
      </c>
      <c r="H151" t="s">
        <v>205</v>
      </c>
      <c r="I151" s="17">
        <f ca="1">(TODAY()-staff[[#This Row],[Date Joined]])/365</f>
        <v>4.7945205479452051</v>
      </c>
    </row>
    <row r="152" spans="1:9" x14ac:dyDescent="0.3">
      <c r="A152" s="17" t="s">
        <v>55</v>
      </c>
      <c r="B152" s="17" t="s">
        <v>8</v>
      </c>
      <c r="C152">
        <v>37</v>
      </c>
      <c r="D152" t="s">
        <v>16</v>
      </c>
      <c r="E152" s="19">
        <v>44451</v>
      </c>
      <c r="F152" s="17" t="s">
        <v>56</v>
      </c>
      <c r="G152" s="16">
        <v>118100</v>
      </c>
      <c r="H152" t="s">
        <v>205</v>
      </c>
      <c r="I152" s="17">
        <f ca="1">(TODAY()-staff[[#This Row],[Date Joined]])/365</f>
        <v>4.3068493150684928</v>
      </c>
    </row>
    <row r="153" spans="1:9" x14ac:dyDescent="0.3">
      <c r="A153" s="17" t="s">
        <v>62</v>
      </c>
      <c r="B153" s="17" t="s">
        <v>8</v>
      </c>
      <c r="C153">
        <v>22</v>
      </c>
      <c r="D153" t="s">
        <v>13</v>
      </c>
      <c r="E153" s="19">
        <v>44450</v>
      </c>
      <c r="F153" s="17" t="s">
        <v>9</v>
      </c>
      <c r="G153" s="16">
        <v>76900</v>
      </c>
      <c r="H153" t="s">
        <v>205</v>
      </c>
      <c r="I153" s="17">
        <f ca="1">(TODAY()-staff[[#This Row],[Date Joined]])/365</f>
        <v>4.3095890410958901</v>
      </c>
    </row>
    <row r="154" spans="1:9" x14ac:dyDescent="0.3">
      <c r="A154" s="17" t="s">
        <v>17</v>
      </c>
      <c r="B154" s="17" t="s">
        <v>8</v>
      </c>
      <c r="C154">
        <v>43</v>
      </c>
      <c r="D154" t="s">
        <v>16</v>
      </c>
      <c r="E154" s="19">
        <v>45045</v>
      </c>
      <c r="F154" s="17" t="s">
        <v>12</v>
      </c>
      <c r="G154" s="16">
        <v>114870</v>
      </c>
      <c r="H154" t="s">
        <v>205</v>
      </c>
      <c r="I154" s="17">
        <f ca="1">(TODAY()-staff[[#This Row],[Date Joined]])/365</f>
        <v>2.6794520547945204</v>
      </c>
    </row>
    <row r="155" spans="1:9" x14ac:dyDescent="0.3">
      <c r="A155" s="17" t="s">
        <v>52</v>
      </c>
      <c r="B155" s="17" t="s">
        <v>207</v>
      </c>
      <c r="C155">
        <v>32</v>
      </c>
      <c r="D155" t="s">
        <v>16</v>
      </c>
      <c r="E155" s="19">
        <v>44774</v>
      </c>
      <c r="F155" s="17" t="s">
        <v>12</v>
      </c>
      <c r="G155" s="16">
        <v>91310</v>
      </c>
      <c r="H155" t="s">
        <v>205</v>
      </c>
      <c r="I155" s="17">
        <f ca="1">(TODAY()-staff[[#This Row],[Date Joined]])/365</f>
        <v>3.4219178082191779</v>
      </c>
    </row>
    <row r="156" spans="1:9" x14ac:dyDescent="0.3">
      <c r="A156" s="17" t="s">
        <v>43</v>
      </c>
      <c r="B156" s="17" t="s">
        <v>8</v>
      </c>
      <c r="C156">
        <v>28</v>
      </c>
      <c r="D156" t="s">
        <v>16</v>
      </c>
      <c r="E156" s="19">
        <v>44486</v>
      </c>
      <c r="F156" s="17" t="s">
        <v>9</v>
      </c>
      <c r="G156" s="16">
        <v>104770</v>
      </c>
      <c r="H156" t="s">
        <v>205</v>
      </c>
      <c r="I156" s="17">
        <f ca="1">(TODAY()-staff[[#This Row],[Date Joined]])/365</f>
        <v>4.2109589041095887</v>
      </c>
    </row>
    <row r="157" spans="1:9" x14ac:dyDescent="0.3">
      <c r="A157" s="17" t="s">
        <v>89</v>
      </c>
      <c r="B157" s="17" t="s">
        <v>15</v>
      </c>
      <c r="C157">
        <v>27</v>
      </c>
      <c r="D157" t="s">
        <v>16</v>
      </c>
      <c r="E157" s="19">
        <v>44134</v>
      </c>
      <c r="F157" s="17" t="s">
        <v>19</v>
      </c>
      <c r="G157" s="16">
        <v>54970</v>
      </c>
      <c r="H157" t="s">
        <v>205</v>
      </c>
      <c r="I157" s="17">
        <f ca="1">(TODAY()-staff[[#This Row],[Date Joined]])/365</f>
        <v>5.1753424657534248</v>
      </c>
    </row>
    <row r="158" spans="1:9" x14ac:dyDescent="0.3">
      <c r="A158" s="17" t="s">
        <v>11</v>
      </c>
      <c r="B158" s="17" t="s">
        <v>207</v>
      </c>
      <c r="C158">
        <v>26</v>
      </c>
      <c r="D158" t="s">
        <v>13</v>
      </c>
      <c r="E158" s="19">
        <v>44271</v>
      </c>
      <c r="F158" s="17" t="s">
        <v>12</v>
      </c>
      <c r="G158" s="16">
        <v>90700</v>
      </c>
      <c r="H158" t="s">
        <v>205</v>
      </c>
      <c r="I158" s="17">
        <f ca="1">(TODAY()-staff[[#This Row],[Date Joined]])/365</f>
        <v>4.8</v>
      </c>
    </row>
    <row r="159" spans="1:9" x14ac:dyDescent="0.3">
      <c r="A159" s="17" t="s">
        <v>109</v>
      </c>
      <c r="B159" s="17" t="s">
        <v>8</v>
      </c>
      <c r="C159">
        <v>38</v>
      </c>
      <c r="D159" t="s">
        <v>13</v>
      </c>
      <c r="E159" s="19">
        <v>44329</v>
      </c>
      <c r="F159" s="17" t="s">
        <v>19</v>
      </c>
      <c r="G159" s="16">
        <v>56870</v>
      </c>
      <c r="H159" t="s">
        <v>205</v>
      </c>
      <c r="I159" s="17">
        <f ca="1">(TODAY()-staff[[#This Row],[Date Joined]])/365</f>
        <v>4.6410958904109592</v>
      </c>
    </row>
    <row r="160" spans="1:9" x14ac:dyDescent="0.3">
      <c r="A160" s="17" t="s">
        <v>77</v>
      </c>
      <c r="B160" s="17" t="s">
        <v>8</v>
      </c>
      <c r="C160">
        <v>25</v>
      </c>
      <c r="D160" t="s">
        <v>16</v>
      </c>
      <c r="E160" s="19">
        <v>44205</v>
      </c>
      <c r="F160" s="17" t="s">
        <v>19</v>
      </c>
      <c r="G160" s="16">
        <v>92700</v>
      </c>
      <c r="H160" t="s">
        <v>205</v>
      </c>
      <c r="I160" s="17">
        <f ca="1">(TODAY()-staff[[#This Row],[Date Joined]])/365</f>
        <v>4.9808219178082194</v>
      </c>
    </row>
    <row r="161" spans="1:9" x14ac:dyDescent="0.3">
      <c r="A161" s="17" t="s">
        <v>32</v>
      </c>
      <c r="B161" s="17" t="s">
        <v>8</v>
      </c>
      <c r="C161">
        <v>21</v>
      </c>
      <c r="D161" t="s">
        <v>16</v>
      </c>
      <c r="E161" s="19">
        <v>44317</v>
      </c>
      <c r="F161" s="17" t="s">
        <v>21</v>
      </c>
      <c r="G161" s="16">
        <v>65920</v>
      </c>
      <c r="H161" t="s">
        <v>205</v>
      </c>
      <c r="I161" s="17">
        <f ca="1">(TODAY()-staff[[#This Row],[Date Joined]])/365</f>
        <v>4.6739726027397257</v>
      </c>
    </row>
    <row r="162" spans="1:9" x14ac:dyDescent="0.3">
      <c r="A162" s="17" t="s">
        <v>59</v>
      </c>
      <c r="B162" s="17" t="s">
        <v>15</v>
      </c>
      <c r="C162">
        <v>26</v>
      </c>
      <c r="D162" t="s">
        <v>16</v>
      </c>
      <c r="E162" s="19">
        <v>44225</v>
      </c>
      <c r="F162" s="17" t="s">
        <v>9</v>
      </c>
      <c r="G162" s="16">
        <v>47360</v>
      </c>
      <c r="H162" t="s">
        <v>205</v>
      </c>
      <c r="I162" s="17">
        <f ca="1">(TODAY()-staff[[#This Row],[Date Joined]])/365</f>
        <v>4.9260273972602739</v>
      </c>
    </row>
    <row r="163" spans="1:9" x14ac:dyDescent="0.3">
      <c r="A163" s="17" t="s">
        <v>37</v>
      </c>
      <c r="B163" s="17" t="s">
        <v>15</v>
      </c>
      <c r="C163">
        <v>30</v>
      </c>
      <c r="D163" t="s">
        <v>16</v>
      </c>
      <c r="E163" s="19">
        <v>44666</v>
      </c>
      <c r="F163" s="17" t="s">
        <v>9</v>
      </c>
      <c r="G163" s="16">
        <v>60570</v>
      </c>
      <c r="H163" t="s">
        <v>205</v>
      </c>
      <c r="I163" s="17">
        <f ca="1">(TODAY()-staff[[#This Row],[Date Joined]])/365</f>
        <v>3.7178082191780821</v>
      </c>
    </row>
    <row r="164" spans="1:9" x14ac:dyDescent="0.3">
      <c r="A164" s="17" t="s">
        <v>96</v>
      </c>
      <c r="B164" s="17" t="s">
        <v>8</v>
      </c>
      <c r="C164">
        <v>28</v>
      </c>
      <c r="D164" t="s">
        <v>16</v>
      </c>
      <c r="E164" s="19">
        <v>44649</v>
      </c>
      <c r="F164" s="17" t="s">
        <v>9</v>
      </c>
      <c r="G164" s="16">
        <v>104120</v>
      </c>
      <c r="H164" t="s">
        <v>205</v>
      </c>
      <c r="I164" s="17">
        <f ca="1">(TODAY()-staff[[#This Row],[Date Joined]])/365</f>
        <v>3.7643835616438355</v>
      </c>
    </row>
    <row r="165" spans="1:9" x14ac:dyDescent="0.3">
      <c r="A165" s="17" t="s">
        <v>23</v>
      </c>
      <c r="B165" s="17" t="s">
        <v>15</v>
      </c>
      <c r="C165">
        <v>37</v>
      </c>
      <c r="D165" t="s">
        <v>24</v>
      </c>
      <c r="E165" s="19">
        <v>44338</v>
      </c>
      <c r="F165" s="17" t="s">
        <v>12</v>
      </c>
      <c r="G165" s="16">
        <v>88050</v>
      </c>
      <c r="H165" t="s">
        <v>205</v>
      </c>
      <c r="I165" s="17">
        <f ca="1">(TODAY()-staff[[#This Row],[Date Joined]])/365</f>
        <v>4.6164383561643838</v>
      </c>
    </row>
    <row r="166" spans="1:9" x14ac:dyDescent="0.3">
      <c r="A166" s="17" t="s">
        <v>103</v>
      </c>
      <c r="B166" s="17" t="s">
        <v>15</v>
      </c>
      <c r="C166">
        <v>24</v>
      </c>
      <c r="D166" t="s">
        <v>16</v>
      </c>
      <c r="E166" s="19">
        <v>44686</v>
      </c>
      <c r="F166" s="17" t="s">
        <v>12</v>
      </c>
      <c r="G166" s="16">
        <v>100420</v>
      </c>
      <c r="H166" t="s">
        <v>205</v>
      </c>
      <c r="I166" s="17">
        <f ca="1">(TODAY()-staff[[#This Row],[Date Joined]])/365</f>
        <v>3.6630136986301371</v>
      </c>
    </row>
    <row r="167" spans="1:9" x14ac:dyDescent="0.3">
      <c r="A167" s="17" t="s">
        <v>54</v>
      </c>
      <c r="B167" s="17" t="s">
        <v>8</v>
      </c>
      <c r="C167">
        <v>30</v>
      </c>
      <c r="D167" t="s">
        <v>16</v>
      </c>
      <c r="E167" s="19">
        <v>44850</v>
      </c>
      <c r="F167" s="17" t="s">
        <v>9</v>
      </c>
      <c r="G167" s="16">
        <v>114180</v>
      </c>
      <c r="H167" t="s">
        <v>205</v>
      </c>
      <c r="I167" s="17">
        <f ca="1">(TODAY()-staff[[#This Row],[Date Joined]])/365</f>
        <v>3.2136986301369861</v>
      </c>
    </row>
    <row r="168" spans="1:9" x14ac:dyDescent="0.3">
      <c r="A168" s="17" t="s">
        <v>86</v>
      </c>
      <c r="B168" s="17" t="s">
        <v>8</v>
      </c>
      <c r="C168">
        <v>21</v>
      </c>
      <c r="D168" t="s">
        <v>16</v>
      </c>
      <c r="E168" s="19">
        <v>44678</v>
      </c>
      <c r="F168" s="17" t="s">
        <v>12</v>
      </c>
      <c r="G168" s="16">
        <v>33920</v>
      </c>
      <c r="H168" t="s">
        <v>205</v>
      </c>
      <c r="I168" s="17">
        <f ca="1">(TODAY()-staff[[#This Row],[Date Joined]])/365</f>
        <v>3.6849315068493151</v>
      </c>
    </row>
    <row r="169" spans="1:9" x14ac:dyDescent="0.3">
      <c r="A169" s="17" t="s">
        <v>69</v>
      </c>
      <c r="B169" s="17" t="s">
        <v>15</v>
      </c>
      <c r="C169">
        <v>23</v>
      </c>
      <c r="D169" t="s">
        <v>16</v>
      </c>
      <c r="E169" s="19">
        <v>44440</v>
      </c>
      <c r="F169" s="17" t="s">
        <v>9</v>
      </c>
      <c r="G169" s="16">
        <v>106460</v>
      </c>
      <c r="H169" t="s">
        <v>205</v>
      </c>
      <c r="I169" s="17">
        <f ca="1">(TODAY()-staff[[#This Row],[Date Joined]])/365</f>
        <v>4.3369863013698629</v>
      </c>
    </row>
    <row r="170" spans="1:9" x14ac:dyDescent="0.3">
      <c r="A170" s="17" t="s">
        <v>57</v>
      </c>
      <c r="B170" s="17" t="s">
        <v>15</v>
      </c>
      <c r="C170">
        <v>35</v>
      </c>
      <c r="D170" t="s">
        <v>16</v>
      </c>
      <c r="E170" s="19">
        <v>44727</v>
      </c>
      <c r="F170" s="17" t="s">
        <v>9</v>
      </c>
      <c r="G170" s="16">
        <v>40400</v>
      </c>
      <c r="H170" t="s">
        <v>205</v>
      </c>
      <c r="I170" s="17">
        <f ca="1">(TODAY()-staff[[#This Row],[Date Joined]])/365</f>
        <v>3.5506849315068494</v>
      </c>
    </row>
    <row r="171" spans="1:9" x14ac:dyDescent="0.3">
      <c r="A171" s="17" t="s">
        <v>68</v>
      </c>
      <c r="B171" s="17" t="s">
        <v>15</v>
      </c>
      <c r="C171">
        <v>27</v>
      </c>
      <c r="D171" t="s">
        <v>13</v>
      </c>
      <c r="E171" s="19">
        <v>44236</v>
      </c>
      <c r="F171" s="17" t="s">
        <v>21</v>
      </c>
      <c r="G171" s="16">
        <v>91650</v>
      </c>
      <c r="H171" t="s">
        <v>205</v>
      </c>
      <c r="I171" s="17">
        <f ca="1">(TODAY()-staff[[#This Row],[Date Joined]])/365</f>
        <v>4.8958904109589039</v>
      </c>
    </row>
    <row r="172" spans="1:9" x14ac:dyDescent="0.3">
      <c r="A172" s="17" t="s">
        <v>99</v>
      </c>
      <c r="B172" s="17" t="s">
        <v>15</v>
      </c>
      <c r="C172">
        <v>43</v>
      </c>
      <c r="D172" t="s">
        <v>16</v>
      </c>
      <c r="E172" s="19">
        <v>44620</v>
      </c>
      <c r="F172" s="17" t="s">
        <v>19</v>
      </c>
      <c r="G172" s="16">
        <v>36040</v>
      </c>
      <c r="H172" t="s">
        <v>205</v>
      </c>
      <c r="I172" s="17">
        <f ca="1">(TODAY()-staff[[#This Row],[Date Joined]])/365</f>
        <v>3.8438356164383563</v>
      </c>
    </row>
    <row r="173" spans="1:9" x14ac:dyDescent="0.3">
      <c r="A173" s="17" t="s">
        <v>101</v>
      </c>
      <c r="B173" s="17" t="s">
        <v>8</v>
      </c>
      <c r="C173">
        <v>40</v>
      </c>
      <c r="D173" t="s">
        <v>16</v>
      </c>
      <c r="E173" s="19">
        <v>44381</v>
      </c>
      <c r="F173" s="17" t="s">
        <v>12</v>
      </c>
      <c r="G173" s="16">
        <v>104410</v>
      </c>
      <c r="H173" t="s">
        <v>205</v>
      </c>
      <c r="I173" s="17">
        <f ca="1">(TODAY()-staff[[#This Row],[Date Joined]])/365</f>
        <v>4.4986301369863018</v>
      </c>
    </row>
    <row r="174" spans="1:9" x14ac:dyDescent="0.3">
      <c r="A174" s="17" t="s">
        <v>85</v>
      </c>
      <c r="B174" s="17" t="s">
        <v>15</v>
      </c>
      <c r="C174">
        <v>30</v>
      </c>
      <c r="D174" t="s">
        <v>16</v>
      </c>
      <c r="E174" s="19">
        <v>44606</v>
      </c>
      <c r="F174" s="17" t="s">
        <v>21</v>
      </c>
      <c r="G174" s="16">
        <v>96800</v>
      </c>
      <c r="H174" t="s">
        <v>205</v>
      </c>
      <c r="I174" s="17">
        <f ca="1">(TODAY()-staff[[#This Row],[Date Joined]])/365</f>
        <v>3.882191780821918</v>
      </c>
    </row>
    <row r="175" spans="1:9" x14ac:dyDescent="0.3">
      <c r="A175" s="17" t="s">
        <v>28</v>
      </c>
      <c r="B175" s="17" t="s">
        <v>8</v>
      </c>
      <c r="C175">
        <v>34</v>
      </c>
      <c r="D175" t="s">
        <v>16</v>
      </c>
      <c r="E175" s="19">
        <v>44459</v>
      </c>
      <c r="F175" s="17" t="s">
        <v>21</v>
      </c>
      <c r="G175" s="16">
        <v>85000</v>
      </c>
      <c r="H175" t="s">
        <v>205</v>
      </c>
      <c r="I175" s="17">
        <f ca="1">(TODAY()-staff[[#This Row],[Date Joined]])/365</f>
        <v>4.2849315068493148</v>
      </c>
    </row>
    <row r="176" spans="1:9" x14ac:dyDescent="0.3">
      <c r="A176" s="17" t="s">
        <v>80</v>
      </c>
      <c r="B176" s="17" t="s">
        <v>15</v>
      </c>
      <c r="C176">
        <v>28</v>
      </c>
      <c r="D176" t="s">
        <v>42</v>
      </c>
      <c r="E176" s="19">
        <v>44820</v>
      </c>
      <c r="F176" s="17" t="s">
        <v>19</v>
      </c>
      <c r="G176" s="16">
        <v>43510</v>
      </c>
      <c r="H176" t="s">
        <v>205</v>
      </c>
      <c r="I176" s="17">
        <f ca="1">(TODAY()-staff[[#This Row],[Date Joined]])/365</f>
        <v>3.2958904109589042</v>
      </c>
    </row>
    <row r="177" spans="1:9" x14ac:dyDescent="0.3">
      <c r="A177" s="17" t="s">
        <v>79</v>
      </c>
      <c r="B177" s="17" t="s">
        <v>15</v>
      </c>
      <c r="C177">
        <v>33</v>
      </c>
      <c r="D177" t="s">
        <v>16</v>
      </c>
      <c r="E177" s="19">
        <v>44243</v>
      </c>
      <c r="F177" s="17" t="s">
        <v>21</v>
      </c>
      <c r="G177" s="16">
        <v>59430</v>
      </c>
      <c r="H177" t="s">
        <v>205</v>
      </c>
      <c r="I177" s="17">
        <f ca="1">(TODAY()-staff[[#This Row],[Date Joined]])/365</f>
        <v>4.8767123287671232</v>
      </c>
    </row>
    <row r="178" spans="1:9" x14ac:dyDescent="0.3">
      <c r="A178" s="17" t="s">
        <v>93</v>
      </c>
      <c r="B178" s="17" t="s">
        <v>8</v>
      </c>
      <c r="C178">
        <v>33</v>
      </c>
      <c r="D178" t="s">
        <v>16</v>
      </c>
      <c r="E178" s="19">
        <v>44067</v>
      </c>
      <c r="F178" s="17" t="s">
        <v>21</v>
      </c>
      <c r="G178" s="16">
        <v>65360</v>
      </c>
      <c r="H178" t="s">
        <v>205</v>
      </c>
      <c r="I178" s="17">
        <f ca="1">(TODAY()-staff[[#This Row],[Date Joined]])/365</f>
        <v>5.3589041095890408</v>
      </c>
    </row>
    <row r="179" spans="1:9" x14ac:dyDescent="0.3">
      <c r="A179" s="17" t="s">
        <v>66</v>
      </c>
      <c r="B179" s="17" t="s">
        <v>8</v>
      </c>
      <c r="C179">
        <v>32</v>
      </c>
      <c r="D179" t="s">
        <v>16</v>
      </c>
      <c r="E179" s="19">
        <v>44611</v>
      </c>
      <c r="F179" s="17" t="s">
        <v>9</v>
      </c>
      <c r="G179" s="16">
        <v>41570</v>
      </c>
      <c r="H179" t="s">
        <v>205</v>
      </c>
      <c r="I179" s="17">
        <f ca="1">(TODAY()-staff[[#This Row],[Date Joined]])/365</f>
        <v>3.8684931506849316</v>
      </c>
    </row>
    <row r="180" spans="1:9" x14ac:dyDescent="0.3">
      <c r="A180" s="17" t="s">
        <v>95</v>
      </c>
      <c r="B180" s="17" t="s">
        <v>8</v>
      </c>
      <c r="C180">
        <v>33</v>
      </c>
      <c r="D180" t="s">
        <v>16</v>
      </c>
      <c r="E180" s="19">
        <v>44312</v>
      </c>
      <c r="F180" s="17" t="s">
        <v>12</v>
      </c>
      <c r="G180" s="16">
        <v>75280</v>
      </c>
      <c r="H180" t="s">
        <v>205</v>
      </c>
      <c r="I180" s="17">
        <f ca="1">(TODAY()-staff[[#This Row],[Date Joined]])/365</f>
        <v>4.6876712328767125</v>
      </c>
    </row>
    <row r="181" spans="1:9" x14ac:dyDescent="0.3">
      <c r="A181" s="17" t="s">
        <v>18</v>
      </c>
      <c r="B181" s="17" t="s">
        <v>15</v>
      </c>
      <c r="C181">
        <v>33</v>
      </c>
      <c r="D181" t="s">
        <v>16</v>
      </c>
      <c r="E181" s="19">
        <v>44385</v>
      </c>
      <c r="F181" s="17" t="s">
        <v>19</v>
      </c>
      <c r="G181" s="16">
        <v>74550</v>
      </c>
      <c r="H181" t="s">
        <v>205</v>
      </c>
      <c r="I181" s="17">
        <f ca="1">(TODAY()-staff[[#This Row],[Date Joined]])/365</f>
        <v>4.4876712328767123</v>
      </c>
    </row>
    <row r="182" spans="1:9" x14ac:dyDescent="0.3">
      <c r="A182" s="17" t="s">
        <v>45</v>
      </c>
      <c r="B182" s="17" t="s">
        <v>15</v>
      </c>
      <c r="C182">
        <v>30</v>
      </c>
      <c r="D182" t="s">
        <v>16</v>
      </c>
      <c r="E182" s="19">
        <v>44701</v>
      </c>
      <c r="F182" s="17" t="s">
        <v>9</v>
      </c>
      <c r="G182" s="16">
        <v>67950</v>
      </c>
      <c r="H182" t="s">
        <v>205</v>
      </c>
      <c r="I182" s="17">
        <f ca="1">(TODAY()-staff[[#This Row],[Date Joined]])/365</f>
        <v>3.6219178082191781</v>
      </c>
    </row>
    <row r="183" spans="1:9" x14ac:dyDescent="0.3">
      <c r="A183" s="17" t="s">
        <v>90</v>
      </c>
      <c r="B183" s="17" t="s">
        <v>15</v>
      </c>
      <c r="C183">
        <v>42</v>
      </c>
      <c r="D183" t="s">
        <v>24</v>
      </c>
      <c r="E183" s="19">
        <v>44731</v>
      </c>
      <c r="F183" s="17" t="s">
        <v>21</v>
      </c>
      <c r="G183" s="16">
        <v>70270</v>
      </c>
      <c r="H183" t="s">
        <v>205</v>
      </c>
      <c r="I183" s="17">
        <f ca="1">(TODAY()-staff[[#This Row],[Date Joined]])/365</f>
        <v>3.5397260273972604</v>
      </c>
    </row>
    <row r="184" spans="1:9" x14ac:dyDescent="0.3">
      <c r="A184" s="17" t="s">
        <v>46</v>
      </c>
      <c r="B184" s="17" t="s">
        <v>15</v>
      </c>
      <c r="C184">
        <v>26</v>
      </c>
      <c r="D184" t="s">
        <v>16</v>
      </c>
      <c r="E184" s="19">
        <v>44411</v>
      </c>
      <c r="F184" s="17" t="s">
        <v>9</v>
      </c>
      <c r="G184" s="16">
        <v>53540</v>
      </c>
      <c r="H184" t="s">
        <v>205</v>
      </c>
      <c r="I184" s="17">
        <f ca="1">(TODAY()-staff[[#This Row],[Date Joined]])/365</f>
        <v>4.4164383561643836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D6D7-13AF-4E80-BC41-C5BC0D06763E}">
  <dimension ref="A1:H114"/>
  <sheetViews>
    <sheetView workbookViewId="0"/>
  </sheetViews>
  <sheetFormatPr defaultRowHeight="14.4" x14ac:dyDescent="0.3"/>
  <cols>
    <col min="1" max="1" width="27.21875" bestFit="1" customWidth="1"/>
    <col min="2" max="2" width="9.33203125" bestFit="1" customWidth="1"/>
    <col min="3" max="3" width="6.44140625" bestFit="1" customWidth="1"/>
    <col min="4" max="4" width="13.109375" bestFit="1" customWidth="1"/>
    <col min="5" max="5" width="14.6640625" bestFit="1" customWidth="1"/>
    <col min="6" max="6" width="13.33203125" bestFit="1" customWidth="1"/>
    <col min="7" max="7" width="8.33203125" bestFit="1" customWidth="1"/>
    <col min="8" max="8" width="9.77734375" bestFit="1" customWidth="1"/>
  </cols>
  <sheetData>
    <row r="1" spans="1:8" x14ac:dyDescent="0.3">
      <c r="A1" t="s">
        <v>0</v>
      </c>
      <c r="B1" t="s">
        <v>1</v>
      </c>
      <c r="C1" t="s">
        <v>3</v>
      </c>
      <c r="D1" t="s">
        <v>6</v>
      </c>
      <c r="E1" t="s">
        <v>4</v>
      </c>
      <c r="F1" t="s">
        <v>2</v>
      </c>
      <c r="G1" t="s">
        <v>5</v>
      </c>
      <c r="H1" t="s">
        <v>204</v>
      </c>
    </row>
    <row r="2" spans="1:8" x14ac:dyDescent="0.3">
      <c r="A2" s="17" t="s">
        <v>156</v>
      </c>
      <c r="B2" s="17" t="s">
        <v>15</v>
      </c>
      <c r="C2">
        <v>20</v>
      </c>
      <c r="D2" t="s">
        <v>16</v>
      </c>
      <c r="E2" s="18">
        <v>44122</v>
      </c>
      <c r="F2" s="17" t="s">
        <v>12</v>
      </c>
      <c r="G2">
        <v>112650</v>
      </c>
      <c r="H2" t="s">
        <v>206</v>
      </c>
    </row>
    <row r="3" spans="1:8" x14ac:dyDescent="0.3">
      <c r="A3" s="17" t="s">
        <v>176</v>
      </c>
      <c r="B3" s="17" t="s">
        <v>8</v>
      </c>
      <c r="C3">
        <v>32</v>
      </c>
      <c r="D3" t="s">
        <v>13</v>
      </c>
      <c r="E3" s="18">
        <v>44293</v>
      </c>
      <c r="F3" s="17" t="s">
        <v>12</v>
      </c>
      <c r="G3">
        <v>43840</v>
      </c>
      <c r="H3" t="s">
        <v>206</v>
      </c>
    </row>
    <row r="4" spans="1:8" x14ac:dyDescent="0.3">
      <c r="A4" s="17" t="s">
        <v>143</v>
      </c>
      <c r="B4" s="17" t="s">
        <v>15</v>
      </c>
      <c r="C4">
        <v>31</v>
      </c>
      <c r="D4" t="s">
        <v>16</v>
      </c>
      <c r="E4" s="18">
        <v>44663</v>
      </c>
      <c r="F4" s="17" t="s">
        <v>9</v>
      </c>
      <c r="G4">
        <v>103550</v>
      </c>
      <c r="H4" t="s">
        <v>206</v>
      </c>
    </row>
    <row r="5" spans="1:8" x14ac:dyDescent="0.3">
      <c r="A5" s="17" t="s">
        <v>201</v>
      </c>
      <c r="B5" s="17" t="s">
        <v>8</v>
      </c>
      <c r="C5">
        <v>32</v>
      </c>
      <c r="D5" t="s">
        <v>16</v>
      </c>
      <c r="E5" s="18">
        <v>44339</v>
      </c>
      <c r="F5" s="17" t="s">
        <v>56</v>
      </c>
      <c r="G5">
        <v>45510</v>
      </c>
      <c r="H5" t="s">
        <v>206</v>
      </c>
    </row>
    <row r="6" spans="1:8" x14ac:dyDescent="0.3">
      <c r="A6" s="17" t="s">
        <v>142</v>
      </c>
      <c r="B6" s="17"/>
      <c r="C6">
        <v>37</v>
      </c>
      <c r="D6" t="s">
        <v>24</v>
      </c>
      <c r="E6" s="18">
        <v>44085</v>
      </c>
      <c r="F6" s="17" t="s">
        <v>21</v>
      </c>
      <c r="G6">
        <v>115440</v>
      </c>
      <c r="H6" t="s">
        <v>206</v>
      </c>
    </row>
    <row r="7" spans="1:8" x14ac:dyDescent="0.3">
      <c r="A7" s="17" t="s">
        <v>202</v>
      </c>
      <c r="B7" s="17" t="s">
        <v>8</v>
      </c>
      <c r="C7">
        <v>38</v>
      </c>
      <c r="D7" t="s">
        <v>13</v>
      </c>
      <c r="E7" s="18">
        <v>44268</v>
      </c>
      <c r="F7" s="17" t="s">
        <v>19</v>
      </c>
      <c r="G7">
        <v>56870</v>
      </c>
      <c r="H7" t="s">
        <v>206</v>
      </c>
    </row>
    <row r="8" spans="1:8" x14ac:dyDescent="0.3">
      <c r="A8" s="17" t="s">
        <v>169</v>
      </c>
      <c r="B8" s="17" t="s">
        <v>8</v>
      </c>
      <c r="C8">
        <v>25</v>
      </c>
      <c r="D8" t="s">
        <v>16</v>
      </c>
      <c r="E8" s="18">
        <v>44144</v>
      </c>
      <c r="F8" s="17" t="s">
        <v>19</v>
      </c>
      <c r="G8">
        <v>92700</v>
      </c>
      <c r="H8" t="s">
        <v>206</v>
      </c>
    </row>
    <row r="9" spans="1:8" x14ac:dyDescent="0.3">
      <c r="A9" s="17" t="s">
        <v>145</v>
      </c>
      <c r="B9" s="17"/>
      <c r="C9">
        <v>32</v>
      </c>
      <c r="D9" t="s">
        <v>16</v>
      </c>
      <c r="E9" s="18">
        <v>44713</v>
      </c>
      <c r="F9" s="17" t="s">
        <v>12</v>
      </c>
      <c r="G9">
        <v>91310</v>
      </c>
      <c r="H9" t="s">
        <v>206</v>
      </c>
    </row>
    <row r="10" spans="1:8" x14ac:dyDescent="0.3">
      <c r="A10" s="17" t="s">
        <v>115</v>
      </c>
      <c r="B10" s="17" t="s">
        <v>15</v>
      </c>
      <c r="C10">
        <v>33</v>
      </c>
      <c r="D10" t="s">
        <v>16</v>
      </c>
      <c r="E10" s="18">
        <v>44324</v>
      </c>
      <c r="F10" s="17" t="s">
        <v>19</v>
      </c>
      <c r="G10">
        <v>74550</v>
      </c>
      <c r="H10" t="s">
        <v>206</v>
      </c>
    </row>
    <row r="11" spans="1:8" x14ac:dyDescent="0.3">
      <c r="A11" s="17" t="s">
        <v>128</v>
      </c>
      <c r="B11" s="17" t="s">
        <v>15</v>
      </c>
      <c r="C11">
        <v>25</v>
      </c>
      <c r="D11" t="s">
        <v>13</v>
      </c>
      <c r="E11" s="18">
        <v>44665</v>
      </c>
      <c r="F11" s="17" t="s">
        <v>9</v>
      </c>
      <c r="G11">
        <v>109190</v>
      </c>
      <c r="H11" t="s">
        <v>206</v>
      </c>
    </row>
    <row r="12" spans="1:8" x14ac:dyDescent="0.3">
      <c r="A12" s="17" t="s">
        <v>194</v>
      </c>
      <c r="B12" s="17" t="s">
        <v>8</v>
      </c>
      <c r="C12">
        <v>40</v>
      </c>
      <c r="D12" t="s">
        <v>16</v>
      </c>
      <c r="E12" s="18">
        <v>44320</v>
      </c>
      <c r="F12" s="17" t="s">
        <v>12</v>
      </c>
      <c r="G12">
        <v>104410</v>
      </c>
      <c r="H12" t="s">
        <v>206</v>
      </c>
    </row>
    <row r="13" spans="1:8" x14ac:dyDescent="0.3">
      <c r="A13" s="17" t="s">
        <v>177</v>
      </c>
      <c r="B13" s="17" t="s">
        <v>15</v>
      </c>
      <c r="C13">
        <v>30</v>
      </c>
      <c r="D13" t="s">
        <v>16</v>
      </c>
      <c r="E13" s="18">
        <v>44544</v>
      </c>
      <c r="F13" s="17" t="s">
        <v>21</v>
      </c>
      <c r="G13">
        <v>96800</v>
      </c>
      <c r="H13" t="s">
        <v>206</v>
      </c>
    </row>
    <row r="14" spans="1:8" x14ac:dyDescent="0.3">
      <c r="A14" s="17" t="s">
        <v>123</v>
      </c>
      <c r="B14" s="17" t="s">
        <v>15</v>
      </c>
      <c r="C14">
        <v>28</v>
      </c>
      <c r="D14" t="s">
        <v>13</v>
      </c>
      <c r="E14" s="18">
        <v>43980</v>
      </c>
      <c r="F14" s="17" t="s">
        <v>21</v>
      </c>
      <c r="G14">
        <v>48170</v>
      </c>
      <c r="H14" t="s">
        <v>206</v>
      </c>
    </row>
    <row r="15" spans="1:8" x14ac:dyDescent="0.3">
      <c r="A15" s="17" t="s">
        <v>140</v>
      </c>
      <c r="B15" s="17" t="s">
        <v>15</v>
      </c>
      <c r="C15">
        <v>21</v>
      </c>
      <c r="D15" t="s">
        <v>16</v>
      </c>
      <c r="E15" s="18">
        <v>44042</v>
      </c>
      <c r="F15" s="17" t="s">
        <v>9</v>
      </c>
      <c r="G15">
        <v>37920</v>
      </c>
      <c r="H15" t="s">
        <v>206</v>
      </c>
    </row>
    <row r="16" spans="1:8" x14ac:dyDescent="0.3">
      <c r="A16" s="17" t="s">
        <v>178</v>
      </c>
      <c r="B16" s="17" t="s">
        <v>15</v>
      </c>
      <c r="C16">
        <v>34</v>
      </c>
      <c r="D16" t="s">
        <v>16</v>
      </c>
      <c r="E16" s="18">
        <v>44642</v>
      </c>
      <c r="F16" s="17" t="s">
        <v>9</v>
      </c>
      <c r="G16">
        <v>112650</v>
      </c>
      <c r="H16" t="s">
        <v>206</v>
      </c>
    </row>
    <row r="17" spans="1:8" x14ac:dyDescent="0.3">
      <c r="A17" s="17" t="s">
        <v>165</v>
      </c>
      <c r="B17" s="17" t="s">
        <v>8</v>
      </c>
      <c r="C17">
        <v>34</v>
      </c>
      <c r="D17" t="s">
        <v>24</v>
      </c>
      <c r="E17" s="18">
        <v>44660</v>
      </c>
      <c r="F17" s="17" t="s">
        <v>19</v>
      </c>
      <c r="G17">
        <v>49630</v>
      </c>
      <c r="H17" t="s">
        <v>206</v>
      </c>
    </row>
    <row r="18" spans="1:8" x14ac:dyDescent="0.3">
      <c r="A18" s="17" t="s">
        <v>199</v>
      </c>
      <c r="B18" s="17" t="s">
        <v>15</v>
      </c>
      <c r="C18">
        <v>36</v>
      </c>
      <c r="D18" t="s">
        <v>16</v>
      </c>
      <c r="E18" s="18">
        <v>43958</v>
      </c>
      <c r="F18" s="17" t="s">
        <v>12</v>
      </c>
      <c r="G18">
        <v>118840</v>
      </c>
      <c r="H18" t="s">
        <v>206</v>
      </c>
    </row>
    <row r="19" spans="1:8" x14ac:dyDescent="0.3">
      <c r="A19" s="17" t="s">
        <v>159</v>
      </c>
      <c r="B19" s="17" t="s">
        <v>15</v>
      </c>
      <c r="C19">
        <v>30</v>
      </c>
      <c r="D19" t="s">
        <v>16</v>
      </c>
      <c r="E19" s="18">
        <v>44789</v>
      </c>
      <c r="F19" s="17" t="s">
        <v>12</v>
      </c>
      <c r="G19">
        <v>69710</v>
      </c>
      <c r="H19" t="s">
        <v>206</v>
      </c>
    </row>
    <row r="20" spans="1:8" x14ac:dyDescent="0.3">
      <c r="A20" s="17" t="s">
        <v>197</v>
      </c>
      <c r="B20" s="17" t="s">
        <v>15</v>
      </c>
      <c r="C20">
        <v>20</v>
      </c>
      <c r="D20" t="s">
        <v>16</v>
      </c>
      <c r="E20" s="18">
        <v>44683</v>
      </c>
      <c r="F20" s="17" t="s">
        <v>9</v>
      </c>
      <c r="G20">
        <v>79570</v>
      </c>
      <c r="H20" t="s">
        <v>206</v>
      </c>
    </row>
    <row r="21" spans="1:8" x14ac:dyDescent="0.3">
      <c r="A21" s="17" t="s">
        <v>154</v>
      </c>
      <c r="B21" s="17" t="s">
        <v>8</v>
      </c>
      <c r="C21">
        <v>22</v>
      </c>
      <c r="D21" t="s">
        <v>13</v>
      </c>
      <c r="E21" s="18">
        <v>44388</v>
      </c>
      <c r="F21" s="17" t="s">
        <v>9</v>
      </c>
      <c r="G21">
        <v>76900</v>
      </c>
      <c r="H21" t="s">
        <v>206</v>
      </c>
    </row>
    <row r="22" spans="1:8" x14ac:dyDescent="0.3">
      <c r="A22" s="17" t="s">
        <v>182</v>
      </c>
      <c r="B22" s="17" t="s">
        <v>15</v>
      </c>
      <c r="C22">
        <v>27</v>
      </c>
      <c r="D22" t="s">
        <v>16</v>
      </c>
      <c r="E22" s="18">
        <v>44073</v>
      </c>
      <c r="F22" s="17" t="s">
        <v>19</v>
      </c>
      <c r="G22">
        <v>54970</v>
      </c>
      <c r="H22" t="s">
        <v>206</v>
      </c>
    </row>
    <row r="23" spans="1:8" x14ac:dyDescent="0.3">
      <c r="A23" s="17" t="s">
        <v>118</v>
      </c>
      <c r="B23" s="17" t="s">
        <v>15</v>
      </c>
      <c r="C23">
        <v>37</v>
      </c>
      <c r="D23" t="s">
        <v>24</v>
      </c>
      <c r="E23" s="18">
        <v>44277</v>
      </c>
      <c r="F23" s="17" t="s">
        <v>12</v>
      </c>
      <c r="G23">
        <v>88050</v>
      </c>
      <c r="H23" t="s">
        <v>206</v>
      </c>
    </row>
    <row r="24" spans="1:8" x14ac:dyDescent="0.3">
      <c r="A24" s="17" t="s">
        <v>192</v>
      </c>
      <c r="B24" s="17" t="s">
        <v>15</v>
      </c>
      <c r="C24">
        <v>43</v>
      </c>
      <c r="D24" t="s">
        <v>16</v>
      </c>
      <c r="E24" s="18">
        <v>44558</v>
      </c>
      <c r="F24" s="17" t="s">
        <v>19</v>
      </c>
      <c r="G24">
        <v>36040</v>
      </c>
      <c r="H24" t="s">
        <v>206</v>
      </c>
    </row>
    <row r="25" spans="1:8" x14ac:dyDescent="0.3">
      <c r="A25" s="17" t="s">
        <v>111</v>
      </c>
      <c r="B25" s="17" t="s">
        <v>8</v>
      </c>
      <c r="C25">
        <v>42</v>
      </c>
      <c r="D25" t="s">
        <v>10</v>
      </c>
      <c r="E25" s="18">
        <v>44718</v>
      </c>
      <c r="F25" s="17" t="s">
        <v>9</v>
      </c>
      <c r="G25">
        <v>75000</v>
      </c>
      <c r="H25" t="s">
        <v>206</v>
      </c>
    </row>
    <row r="26" spans="1:8" x14ac:dyDescent="0.3">
      <c r="A26" s="17" t="s">
        <v>149</v>
      </c>
      <c r="B26" s="17" t="s">
        <v>15</v>
      </c>
      <c r="C26">
        <v>35</v>
      </c>
      <c r="D26" t="s">
        <v>16</v>
      </c>
      <c r="E26" s="18">
        <v>44666</v>
      </c>
      <c r="F26" s="17" t="s">
        <v>9</v>
      </c>
      <c r="G26">
        <v>40400</v>
      </c>
      <c r="H26" t="s">
        <v>206</v>
      </c>
    </row>
    <row r="27" spans="1:8" x14ac:dyDescent="0.3">
      <c r="A27" s="17" t="s">
        <v>196</v>
      </c>
      <c r="B27" s="17" t="s">
        <v>15</v>
      </c>
      <c r="C27">
        <v>24</v>
      </c>
      <c r="D27" t="s">
        <v>16</v>
      </c>
      <c r="E27" s="18">
        <v>44625</v>
      </c>
      <c r="F27" s="17" t="s">
        <v>12</v>
      </c>
      <c r="G27">
        <v>100420</v>
      </c>
      <c r="H27" t="s">
        <v>206</v>
      </c>
    </row>
    <row r="28" spans="1:8" x14ac:dyDescent="0.3">
      <c r="A28" s="17" t="s">
        <v>120</v>
      </c>
      <c r="B28" s="17" t="s">
        <v>8</v>
      </c>
      <c r="C28">
        <v>31</v>
      </c>
      <c r="D28" t="s">
        <v>16</v>
      </c>
      <c r="E28" s="18">
        <v>44604</v>
      </c>
      <c r="F28" s="17" t="s">
        <v>12</v>
      </c>
      <c r="G28">
        <v>58100</v>
      </c>
      <c r="H28" t="s">
        <v>206</v>
      </c>
    </row>
    <row r="29" spans="1:8" x14ac:dyDescent="0.3">
      <c r="A29" s="17" t="s">
        <v>114</v>
      </c>
      <c r="B29" s="17" t="s">
        <v>8</v>
      </c>
      <c r="C29">
        <v>44</v>
      </c>
      <c r="D29" t="s">
        <v>16</v>
      </c>
      <c r="E29" s="18">
        <v>44985</v>
      </c>
      <c r="F29" s="17" t="s">
        <v>12</v>
      </c>
      <c r="G29">
        <v>114870</v>
      </c>
      <c r="H29" t="s">
        <v>206</v>
      </c>
    </row>
    <row r="30" spans="1:8" x14ac:dyDescent="0.3">
      <c r="A30" s="17" t="s">
        <v>158</v>
      </c>
      <c r="B30" s="17" t="s">
        <v>8</v>
      </c>
      <c r="C30">
        <v>32</v>
      </c>
      <c r="D30" t="s">
        <v>16</v>
      </c>
      <c r="E30" s="18">
        <v>44549</v>
      </c>
      <c r="F30" s="17" t="s">
        <v>9</v>
      </c>
      <c r="G30">
        <v>41570</v>
      </c>
      <c r="H30" t="s">
        <v>206</v>
      </c>
    </row>
    <row r="31" spans="1:8" x14ac:dyDescent="0.3">
      <c r="A31" s="17" t="s">
        <v>173</v>
      </c>
      <c r="B31" s="17" t="s">
        <v>8</v>
      </c>
      <c r="C31">
        <v>30</v>
      </c>
      <c r="D31" t="s">
        <v>16</v>
      </c>
      <c r="E31" s="18">
        <v>44800</v>
      </c>
      <c r="F31" s="17" t="s">
        <v>9</v>
      </c>
      <c r="G31">
        <v>112570</v>
      </c>
      <c r="H31" t="s">
        <v>206</v>
      </c>
    </row>
    <row r="32" spans="1:8" x14ac:dyDescent="0.3">
      <c r="A32" s="17" t="s">
        <v>151</v>
      </c>
      <c r="B32" s="17" t="s">
        <v>15</v>
      </c>
      <c r="C32">
        <v>26</v>
      </c>
      <c r="D32" t="s">
        <v>16</v>
      </c>
      <c r="E32" s="18">
        <v>44164</v>
      </c>
      <c r="F32" s="17" t="s">
        <v>9</v>
      </c>
      <c r="G32">
        <v>47360</v>
      </c>
      <c r="H32" t="s">
        <v>206</v>
      </c>
    </row>
    <row r="33" spans="1:8" x14ac:dyDescent="0.3">
      <c r="A33" s="17" t="s">
        <v>126</v>
      </c>
      <c r="B33" s="17" t="s">
        <v>8</v>
      </c>
      <c r="C33">
        <v>21</v>
      </c>
      <c r="D33" t="s">
        <v>16</v>
      </c>
      <c r="E33" s="18">
        <v>44256</v>
      </c>
      <c r="F33" s="17" t="s">
        <v>21</v>
      </c>
      <c r="G33">
        <v>65920</v>
      </c>
      <c r="H33" t="s">
        <v>206</v>
      </c>
    </row>
    <row r="34" spans="1:8" x14ac:dyDescent="0.3">
      <c r="A34" s="17" t="s">
        <v>200</v>
      </c>
      <c r="B34" s="17" t="s">
        <v>8</v>
      </c>
      <c r="C34">
        <v>28</v>
      </c>
      <c r="D34" t="s">
        <v>16</v>
      </c>
      <c r="E34" s="18">
        <v>44571</v>
      </c>
      <c r="F34" s="17" t="s">
        <v>9</v>
      </c>
      <c r="G34">
        <v>99970</v>
      </c>
      <c r="H34" t="s">
        <v>206</v>
      </c>
    </row>
    <row r="35" spans="1:8" x14ac:dyDescent="0.3">
      <c r="A35" s="17" t="s">
        <v>133</v>
      </c>
      <c r="B35" s="17" t="s">
        <v>8</v>
      </c>
      <c r="C35">
        <v>25</v>
      </c>
      <c r="D35" t="s">
        <v>13</v>
      </c>
      <c r="E35" s="18">
        <v>44633</v>
      </c>
      <c r="F35" s="17" t="s">
        <v>12</v>
      </c>
      <c r="G35">
        <v>80700</v>
      </c>
      <c r="H35" t="s">
        <v>206</v>
      </c>
    </row>
    <row r="36" spans="1:8" x14ac:dyDescent="0.3">
      <c r="A36" s="17" t="s">
        <v>155</v>
      </c>
      <c r="B36" s="17" t="s">
        <v>15</v>
      </c>
      <c r="C36">
        <v>24</v>
      </c>
      <c r="D36" t="s">
        <v>24</v>
      </c>
      <c r="E36" s="18">
        <v>44375</v>
      </c>
      <c r="F36" s="17" t="s">
        <v>21</v>
      </c>
      <c r="G36">
        <v>52610</v>
      </c>
      <c r="H36" t="s">
        <v>206</v>
      </c>
    </row>
    <row r="37" spans="1:8" x14ac:dyDescent="0.3">
      <c r="A37" s="17" t="s">
        <v>180</v>
      </c>
      <c r="B37" s="17" t="s">
        <v>15</v>
      </c>
      <c r="C37">
        <v>29</v>
      </c>
      <c r="D37" t="s">
        <v>24</v>
      </c>
      <c r="E37" s="18">
        <v>44119</v>
      </c>
      <c r="F37" s="17" t="s">
        <v>12</v>
      </c>
      <c r="G37">
        <v>112110</v>
      </c>
      <c r="H37" t="s">
        <v>206</v>
      </c>
    </row>
    <row r="38" spans="1:8" x14ac:dyDescent="0.3">
      <c r="A38" s="17" t="s">
        <v>152</v>
      </c>
      <c r="B38" s="17" t="s">
        <v>8</v>
      </c>
      <c r="C38">
        <v>27</v>
      </c>
      <c r="D38" t="s">
        <v>16</v>
      </c>
      <c r="E38" s="18">
        <v>44061</v>
      </c>
      <c r="F38" s="17" t="s">
        <v>56</v>
      </c>
      <c r="G38">
        <v>119110</v>
      </c>
      <c r="H38" t="s">
        <v>206</v>
      </c>
    </row>
    <row r="39" spans="1:8" x14ac:dyDescent="0.3">
      <c r="A39" s="17" t="s">
        <v>150</v>
      </c>
      <c r="B39" s="17" t="s">
        <v>15</v>
      </c>
      <c r="C39">
        <v>22</v>
      </c>
      <c r="D39" t="s">
        <v>13</v>
      </c>
      <c r="E39" s="18">
        <v>44384</v>
      </c>
      <c r="F39" s="17" t="s">
        <v>19</v>
      </c>
      <c r="G39">
        <v>112780</v>
      </c>
      <c r="H39" t="s">
        <v>206</v>
      </c>
    </row>
    <row r="40" spans="1:8" x14ac:dyDescent="0.3">
      <c r="A40" s="17" t="s">
        <v>175</v>
      </c>
      <c r="B40" s="17" t="s">
        <v>8</v>
      </c>
      <c r="C40">
        <v>36</v>
      </c>
      <c r="D40" t="s">
        <v>16</v>
      </c>
      <c r="E40" s="18">
        <v>44023</v>
      </c>
      <c r="F40" s="17" t="s">
        <v>9</v>
      </c>
      <c r="G40">
        <v>114890</v>
      </c>
      <c r="H40" t="s">
        <v>206</v>
      </c>
    </row>
    <row r="41" spans="1:8" x14ac:dyDescent="0.3">
      <c r="A41" s="17" t="s">
        <v>146</v>
      </c>
      <c r="B41" s="17" t="s">
        <v>15</v>
      </c>
      <c r="C41">
        <v>27</v>
      </c>
      <c r="D41" t="s">
        <v>16</v>
      </c>
      <c r="E41" s="18">
        <v>44506</v>
      </c>
      <c r="F41" s="17" t="s">
        <v>21</v>
      </c>
      <c r="G41">
        <v>48980</v>
      </c>
      <c r="H41" t="s">
        <v>206</v>
      </c>
    </row>
    <row r="42" spans="1:8" x14ac:dyDescent="0.3">
      <c r="A42" s="17" t="s">
        <v>170</v>
      </c>
      <c r="B42" s="17" t="s">
        <v>15</v>
      </c>
      <c r="C42">
        <v>21</v>
      </c>
      <c r="D42" t="s">
        <v>16</v>
      </c>
      <c r="E42" s="18">
        <v>44180</v>
      </c>
      <c r="F42" s="17" t="s">
        <v>56</v>
      </c>
      <c r="G42">
        <v>75880</v>
      </c>
      <c r="H42" t="s">
        <v>206</v>
      </c>
    </row>
    <row r="43" spans="1:8" x14ac:dyDescent="0.3">
      <c r="A43" s="17" t="s">
        <v>167</v>
      </c>
      <c r="B43" s="17" t="s">
        <v>8</v>
      </c>
      <c r="C43">
        <v>28</v>
      </c>
      <c r="D43" t="s">
        <v>16</v>
      </c>
      <c r="E43" s="18">
        <v>44296</v>
      </c>
      <c r="F43" s="17" t="s">
        <v>19</v>
      </c>
      <c r="G43">
        <v>53240</v>
      </c>
      <c r="H43" t="s">
        <v>206</v>
      </c>
    </row>
    <row r="44" spans="1:8" x14ac:dyDescent="0.3">
      <c r="A44" s="17" t="s">
        <v>122</v>
      </c>
      <c r="B44" s="17" t="s">
        <v>8</v>
      </c>
      <c r="C44">
        <v>34</v>
      </c>
      <c r="D44" t="s">
        <v>16</v>
      </c>
      <c r="E44" s="18">
        <v>44397</v>
      </c>
      <c r="F44" s="17" t="s">
        <v>21</v>
      </c>
      <c r="G44">
        <v>85000</v>
      </c>
      <c r="H44" t="s">
        <v>206</v>
      </c>
    </row>
    <row r="45" spans="1:8" x14ac:dyDescent="0.3">
      <c r="A45" s="17" t="s">
        <v>179</v>
      </c>
      <c r="B45" s="17" t="s">
        <v>8</v>
      </c>
      <c r="C45">
        <v>21</v>
      </c>
      <c r="D45" t="s">
        <v>16</v>
      </c>
      <c r="E45" s="18">
        <v>44619</v>
      </c>
      <c r="F45" s="17" t="s">
        <v>12</v>
      </c>
      <c r="G45">
        <v>33920</v>
      </c>
      <c r="H45" t="s">
        <v>206</v>
      </c>
    </row>
    <row r="46" spans="1:8" x14ac:dyDescent="0.3">
      <c r="A46" s="17" t="s">
        <v>188</v>
      </c>
      <c r="B46" s="17" t="s">
        <v>8</v>
      </c>
      <c r="C46">
        <v>33</v>
      </c>
      <c r="D46" t="s">
        <v>16</v>
      </c>
      <c r="E46" s="18">
        <v>44253</v>
      </c>
      <c r="F46" s="17" t="s">
        <v>12</v>
      </c>
      <c r="G46">
        <v>75280</v>
      </c>
      <c r="H46" t="s">
        <v>206</v>
      </c>
    </row>
    <row r="47" spans="1:8" x14ac:dyDescent="0.3">
      <c r="A47" s="17" t="s">
        <v>130</v>
      </c>
      <c r="B47" s="17" t="s">
        <v>8</v>
      </c>
      <c r="C47">
        <v>34</v>
      </c>
      <c r="D47" t="s">
        <v>16</v>
      </c>
      <c r="E47" s="18">
        <v>44594</v>
      </c>
      <c r="F47" s="17" t="s">
        <v>21</v>
      </c>
      <c r="G47">
        <v>58940</v>
      </c>
      <c r="H47" t="s">
        <v>206</v>
      </c>
    </row>
    <row r="48" spans="1:8" x14ac:dyDescent="0.3">
      <c r="A48" s="17" t="s">
        <v>136</v>
      </c>
      <c r="B48" s="17" t="s">
        <v>8</v>
      </c>
      <c r="C48">
        <v>28</v>
      </c>
      <c r="D48" t="s">
        <v>16</v>
      </c>
      <c r="E48" s="18">
        <v>44425</v>
      </c>
      <c r="F48" s="17" t="s">
        <v>9</v>
      </c>
      <c r="G48">
        <v>104770</v>
      </c>
      <c r="H48" t="s">
        <v>206</v>
      </c>
    </row>
    <row r="49" spans="1:8" x14ac:dyDescent="0.3">
      <c r="A49" s="17" t="s">
        <v>125</v>
      </c>
      <c r="B49" s="17" t="s">
        <v>15</v>
      </c>
      <c r="C49">
        <v>21</v>
      </c>
      <c r="D49" t="s">
        <v>16</v>
      </c>
      <c r="E49" s="18">
        <v>44701</v>
      </c>
      <c r="F49" s="17" t="s">
        <v>9</v>
      </c>
      <c r="G49">
        <v>57090</v>
      </c>
      <c r="H49" t="s">
        <v>206</v>
      </c>
    </row>
    <row r="50" spans="1:8" x14ac:dyDescent="0.3">
      <c r="A50" s="17" t="s">
        <v>160</v>
      </c>
      <c r="B50" s="17" t="s">
        <v>15</v>
      </c>
      <c r="C50">
        <v>27</v>
      </c>
      <c r="D50" t="s">
        <v>13</v>
      </c>
      <c r="E50" s="18">
        <v>44174</v>
      </c>
      <c r="F50" s="17" t="s">
        <v>21</v>
      </c>
      <c r="G50">
        <v>91650</v>
      </c>
      <c r="H50" t="s">
        <v>206</v>
      </c>
    </row>
    <row r="51" spans="1:8" x14ac:dyDescent="0.3">
      <c r="A51" s="17" t="s">
        <v>183</v>
      </c>
      <c r="B51" s="17" t="s">
        <v>15</v>
      </c>
      <c r="C51">
        <v>42</v>
      </c>
      <c r="D51" t="s">
        <v>24</v>
      </c>
      <c r="E51" s="18">
        <v>44670</v>
      </c>
      <c r="F51" s="17" t="s">
        <v>21</v>
      </c>
      <c r="G51">
        <v>70270</v>
      </c>
      <c r="H51" t="s">
        <v>206</v>
      </c>
    </row>
    <row r="52" spans="1:8" x14ac:dyDescent="0.3">
      <c r="A52" s="17" t="s">
        <v>129</v>
      </c>
      <c r="B52" s="17" t="s">
        <v>8</v>
      </c>
      <c r="C52">
        <v>28</v>
      </c>
      <c r="D52" t="s">
        <v>16</v>
      </c>
      <c r="E52" s="18">
        <v>44124</v>
      </c>
      <c r="F52" s="17" t="s">
        <v>21</v>
      </c>
      <c r="G52">
        <v>75970</v>
      </c>
      <c r="H52" t="s">
        <v>206</v>
      </c>
    </row>
    <row r="53" spans="1:8" x14ac:dyDescent="0.3">
      <c r="A53" s="17" t="s">
        <v>112</v>
      </c>
      <c r="B53" s="17"/>
      <c r="C53">
        <v>27</v>
      </c>
      <c r="D53" t="s">
        <v>13</v>
      </c>
      <c r="E53" s="18">
        <v>44212</v>
      </c>
      <c r="F53" s="17" t="s">
        <v>12</v>
      </c>
      <c r="G53">
        <v>90700</v>
      </c>
      <c r="H53" t="s">
        <v>206</v>
      </c>
    </row>
    <row r="54" spans="1:8" x14ac:dyDescent="0.3">
      <c r="A54" s="17" t="s">
        <v>131</v>
      </c>
      <c r="B54" s="17" t="s">
        <v>15</v>
      </c>
      <c r="C54">
        <v>30</v>
      </c>
      <c r="D54" t="s">
        <v>16</v>
      </c>
      <c r="E54" s="18">
        <v>44607</v>
      </c>
      <c r="F54" s="17" t="s">
        <v>9</v>
      </c>
      <c r="G54">
        <v>60570</v>
      </c>
      <c r="H54" t="s">
        <v>206</v>
      </c>
    </row>
    <row r="55" spans="1:8" x14ac:dyDescent="0.3">
      <c r="A55" s="17" t="s">
        <v>134</v>
      </c>
      <c r="B55" s="17" t="s">
        <v>15</v>
      </c>
      <c r="C55">
        <v>33</v>
      </c>
      <c r="D55" t="s">
        <v>16</v>
      </c>
      <c r="E55" s="18">
        <v>44103</v>
      </c>
      <c r="F55" s="17" t="s">
        <v>9</v>
      </c>
      <c r="G55">
        <v>115920</v>
      </c>
      <c r="H55" t="s">
        <v>206</v>
      </c>
    </row>
    <row r="56" spans="1:8" x14ac:dyDescent="0.3">
      <c r="A56" s="17" t="s">
        <v>186</v>
      </c>
      <c r="B56" s="17" t="s">
        <v>8</v>
      </c>
      <c r="C56">
        <v>33</v>
      </c>
      <c r="D56" t="s">
        <v>16</v>
      </c>
      <c r="E56" s="18">
        <v>44006</v>
      </c>
      <c r="F56" s="17" t="s">
        <v>21</v>
      </c>
      <c r="G56">
        <v>65360</v>
      </c>
      <c r="H56" t="s">
        <v>206</v>
      </c>
    </row>
    <row r="57" spans="1:8" x14ac:dyDescent="0.3">
      <c r="A57" s="17" t="s">
        <v>116</v>
      </c>
      <c r="B57" s="17"/>
      <c r="C57">
        <v>30</v>
      </c>
      <c r="D57" t="s">
        <v>16</v>
      </c>
      <c r="E57" s="18">
        <v>44535</v>
      </c>
      <c r="F57" s="17" t="s">
        <v>21</v>
      </c>
      <c r="G57">
        <v>64000</v>
      </c>
      <c r="H57" t="s">
        <v>206</v>
      </c>
    </row>
    <row r="58" spans="1:8" x14ac:dyDescent="0.3">
      <c r="A58" s="17" t="s">
        <v>195</v>
      </c>
      <c r="B58" s="17" t="s">
        <v>8</v>
      </c>
      <c r="C58">
        <v>34</v>
      </c>
      <c r="D58" t="s">
        <v>16</v>
      </c>
      <c r="E58" s="18">
        <v>44383</v>
      </c>
      <c r="F58" s="17" t="s">
        <v>21</v>
      </c>
      <c r="G58">
        <v>92450</v>
      </c>
      <c r="H58" t="s">
        <v>206</v>
      </c>
    </row>
    <row r="59" spans="1:8" x14ac:dyDescent="0.3">
      <c r="A59" s="17" t="s">
        <v>113</v>
      </c>
      <c r="B59" s="17" t="s">
        <v>15</v>
      </c>
      <c r="C59">
        <v>31</v>
      </c>
      <c r="D59" t="s">
        <v>16</v>
      </c>
      <c r="E59" s="18">
        <v>44450</v>
      </c>
      <c r="F59" s="17" t="s">
        <v>12</v>
      </c>
      <c r="G59">
        <v>48950</v>
      </c>
      <c r="H59" t="s">
        <v>206</v>
      </c>
    </row>
    <row r="60" spans="1:8" x14ac:dyDescent="0.3">
      <c r="A60" s="17" t="s">
        <v>185</v>
      </c>
      <c r="B60" s="17" t="s">
        <v>8</v>
      </c>
      <c r="C60">
        <v>27</v>
      </c>
      <c r="D60" t="s">
        <v>16</v>
      </c>
      <c r="E60" s="18">
        <v>44625</v>
      </c>
      <c r="F60" s="17" t="s">
        <v>12</v>
      </c>
      <c r="G60">
        <v>83750</v>
      </c>
      <c r="H60" t="s">
        <v>206</v>
      </c>
    </row>
    <row r="61" spans="1:8" x14ac:dyDescent="0.3">
      <c r="A61" s="17" t="s">
        <v>166</v>
      </c>
      <c r="B61" s="17" t="s">
        <v>8</v>
      </c>
      <c r="C61">
        <v>40</v>
      </c>
      <c r="D61" t="s">
        <v>16</v>
      </c>
      <c r="E61" s="18">
        <v>44276</v>
      </c>
      <c r="F61" s="17" t="s">
        <v>12</v>
      </c>
      <c r="G61">
        <v>87620</v>
      </c>
      <c r="H61" t="s">
        <v>206</v>
      </c>
    </row>
    <row r="62" spans="1:8" x14ac:dyDescent="0.3">
      <c r="A62" s="17" t="s">
        <v>184</v>
      </c>
      <c r="B62" s="17" t="s">
        <v>8</v>
      </c>
      <c r="C62">
        <v>20</v>
      </c>
      <c r="D62" t="s">
        <v>24</v>
      </c>
      <c r="E62" s="18">
        <v>44476</v>
      </c>
      <c r="F62" s="17" t="s">
        <v>19</v>
      </c>
      <c r="G62">
        <v>68900</v>
      </c>
      <c r="H62" t="s">
        <v>206</v>
      </c>
    </row>
    <row r="63" spans="1:8" x14ac:dyDescent="0.3">
      <c r="A63" s="17" t="s">
        <v>157</v>
      </c>
      <c r="B63" s="17" t="s">
        <v>15</v>
      </c>
      <c r="C63">
        <v>32</v>
      </c>
      <c r="D63" t="s">
        <v>16</v>
      </c>
      <c r="E63" s="18">
        <v>44403</v>
      </c>
      <c r="F63" s="17" t="s">
        <v>19</v>
      </c>
      <c r="G63">
        <v>53540</v>
      </c>
      <c r="H63" t="s">
        <v>206</v>
      </c>
    </row>
    <row r="64" spans="1:8" x14ac:dyDescent="0.3">
      <c r="A64" s="17" t="s">
        <v>172</v>
      </c>
      <c r="B64" s="17" t="s">
        <v>15</v>
      </c>
      <c r="C64">
        <v>28</v>
      </c>
      <c r="D64" t="s">
        <v>42</v>
      </c>
      <c r="E64" s="18">
        <v>44758</v>
      </c>
      <c r="F64" s="17" t="s">
        <v>19</v>
      </c>
      <c r="G64">
        <v>43510</v>
      </c>
      <c r="H64" t="s">
        <v>206</v>
      </c>
    </row>
    <row r="65" spans="1:8" x14ac:dyDescent="0.3">
      <c r="A65" s="17" t="s">
        <v>127</v>
      </c>
      <c r="B65" s="17" t="s">
        <v>8</v>
      </c>
      <c r="C65">
        <v>38</v>
      </c>
      <c r="D65" t="s">
        <v>10</v>
      </c>
      <c r="E65" s="18">
        <v>44316</v>
      </c>
      <c r="F65" s="17" t="s">
        <v>19</v>
      </c>
      <c r="G65">
        <v>109160</v>
      </c>
      <c r="H65" t="s">
        <v>206</v>
      </c>
    </row>
    <row r="66" spans="1:8" x14ac:dyDescent="0.3">
      <c r="A66" s="17" t="s">
        <v>198</v>
      </c>
      <c r="B66" s="17" t="s">
        <v>15</v>
      </c>
      <c r="C66">
        <v>40</v>
      </c>
      <c r="D66" t="s">
        <v>16</v>
      </c>
      <c r="E66" s="18">
        <v>44204</v>
      </c>
      <c r="F66" s="17" t="s">
        <v>9</v>
      </c>
      <c r="G66">
        <v>99750</v>
      </c>
      <c r="H66" t="s">
        <v>206</v>
      </c>
    </row>
    <row r="67" spans="1:8" x14ac:dyDescent="0.3">
      <c r="A67" s="17" t="s">
        <v>124</v>
      </c>
      <c r="B67" s="17" t="s">
        <v>8</v>
      </c>
      <c r="C67">
        <v>31</v>
      </c>
      <c r="D67" t="s">
        <v>16</v>
      </c>
      <c r="E67" s="18">
        <v>44084</v>
      </c>
      <c r="F67" s="17" t="s">
        <v>12</v>
      </c>
      <c r="G67">
        <v>41980</v>
      </c>
      <c r="H67" t="s">
        <v>206</v>
      </c>
    </row>
    <row r="68" spans="1:8" x14ac:dyDescent="0.3">
      <c r="A68" s="17" t="s">
        <v>187</v>
      </c>
      <c r="B68" s="17" t="s">
        <v>15</v>
      </c>
      <c r="C68">
        <v>36</v>
      </c>
      <c r="D68" t="s">
        <v>16</v>
      </c>
      <c r="E68" s="18">
        <v>44272</v>
      </c>
      <c r="F68" s="17" t="s">
        <v>21</v>
      </c>
      <c r="G68">
        <v>71380</v>
      </c>
      <c r="H68" t="s">
        <v>206</v>
      </c>
    </row>
    <row r="69" spans="1:8" x14ac:dyDescent="0.3">
      <c r="A69" s="17" t="s">
        <v>191</v>
      </c>
      <c r="B69" s="17" t="s">
        <v>15</v>
      </c>
      <c r="C69">
        <v>27</v>
      </c>
      <c r="D69" t="s">
        <v>42</v>
      </c>
      <c r="E69" s="18">
        <v>44547</v>
      </c>
      <c r="F69" s="17" t="s">
        <v>9</v>
      </c>
      <c r="G69">
        <v>113280</v>
      </c>
      <c r="H69" t="s">
        <v>206</v>
      </c>
    </row>
    <row r="70" spans="1:8" x14ac:dyDescent="0.3">
      <c r="A70" s="17" t="s">
        <v>181</v>
      </c>
      <c r="B70" s="17" t="s">
        <v>8</v>
      </c>
      <c r="C70">
        <v>33</v>
      </c>
      <c r="D70" t="s">
        <v>16</v>
      </c>
      <c r="E70" s="18">
        <v>44747</v>
      </c>
      <c r="F70" s="17" t="s">
        <v>21</v>
      </c>
      <c r="G70">
        <v>86570</v>
      </c>
      <c r="H70" t="s">
        <v>206</v>
      </c>
    </row>
    <row r="71" spans="1:8" x14ac:dyDescent="0.3">
      <c r="A71" s="17" t="s">
        <v>139</v>
      </c>
      <c r="B71" s="17" t="s">
        <v>15</v>
      </c>
      <c r="C71">
        <v>26</v>
      </c>
      <c r="D71" t="s">
        <v>16</v>
      </c>
      <c r="E71" s="18">
        <v>44350</v>
      </c>
      <c r="F71" s="17" t="s">
        <v>9</v>
      </c>
      <c r="G71">
        <v>53540</v>
      </c>
      <c r="H71" t="s">
        <v>206</v>
      </c>
    </row>
    <row r="72" spans="1:8" x14ac:dyDescent="0.3">
      <c r="A72" s="17" t="s">
        <v>190</v>
      </c>
      <c r="B72" s="17" t="s">
        <v>15</v>
      </c>
      <c r="C72">
        <v>37</v>
      </c>
      <c r="D72" t="s">
        <v>16</v>
      </c>
      <c r="E72" s="18">
        <v>44640</v>
      </c>
      <c r="F72" s="17" t="s">
        <v>12</v>
      </c>
      <c r="G72">
        <v>69070</v>
      </c>
      <c r="H72" t="s">
        <v>206</v>
      </c>
    </row>
    <row r="73" spans="1:8" x14ac:dyDescent="0.3">
      <c r="A73" s="17" t="s">
        <v>121</v>
      </c>
      <c r="B73" s="17" t="s">
        <v>8</v>
      </c>
      <c r="C73">
        <v>30</v>
      </c>
      <c r="D73" t="s">
        <v>24</v>
      </c>
      <c r="E73" s="18">
        <v>44328</v>
      </c>
      <c r="F73" s="17" t="s">
        <v>21</v>
      </c>
      <c r="G73">
        <v>67910</v>
      </c>
      <c r="H73" t="s">
        <v>206</v>
      </c>
    </row>
    <row r="74" spans="1:8" x14ac:dyDescent="0.3">
      <c r="A74" s="17" t="s">
        <v>119</v>
      </c>
      <c r="B74" s="17" t="s">
        <v>15</v>
      </c>
      <c r="C74">
        <v>30</v>
      </c>
      <c r="D74" t="s">
        <v>16</v>
      </c>
      <c r="E74" s="18">
        <v>44214</v>
      </c>
      <c r="F74" s="17" t="s">
        <v>12</v>
      </c>
      <c r="G74">
        <v>69120</v>
      </c>
      <c r="H74" t="s">
        <v>206</v>
      </c>
    </row>
    <row r="75" spans="1:8" x14ac:dyDescent="0.3">
      <c r="A75" s="17" t="s">
        <v>132</v>
      </c>
      <c r="B75" s="17" t="s">
        <v>8</v>
      </c>
      <c r="C75">
        <v>34</v>
      </c>
      <c r="D75" t="s">
        <v>16</v>
      </c>
      <c r="E75" s="18">
        <v>44550</v>
      </c>
      <c r="F75" s="17" t="s">
        <v>21</v>
      </c>
      <c r="G75">
        <v>60130</v>
      </c>
      <c r="H75" t="s">
        <v>206</v>
      </c>
    </row>
    <row r="76" spans="1:8" x14ac:dyDescent="0.3">
      <c r="A76" s="17" t="s">
        <v>161</v>
      </c>
      <c r="B76" s="17" t="s">
        <v>15</v>
      </c>
      <c r="C76">
        <v>23</v>
      </c>
      <c r="D76" t="s">
        <v>16</v>
      </c>
      <c r="E76" s="18">
        <v>44378</v>
      </c>
      <c r="F76" s="17" t="s">
        <v>9</v>
      </c>
      <c r="G76">
        <v>106460</v>
      </c>
      <c r="H76" t="s">
        <v>206</v>
      </c>
    </row>
    <row r="77" spans="1:8" x14ac:dyDescent="0.3">
      <c r="A77" s="17" t="s">
        <v>148</v>
      </c>
      <c r="B77" s="17" t="s">
        <v>8</v>
      </c>
      <c r="C77">
        <v>37</v>
      </c>
      <c r="D77" t="s">
        <v>16</v>
      </c>
      <c r="E77" s="18">
        <v>44389</v>
      </c>
      <c r="F77" s="17" t="s">
        <v>56</v>
      </c>
      <c r="G77">
        <v>118100</v>
      </c>
      <c r="H77" t="s">
        <v>206</v>
      </c>
    </row>
    <row r="78" spans="1:8" x14ac:dyDescent="0.3">
      <c r="A78" s="17" t="s">
        <v>164</v>
      </c>
      <c r="B78" s="17" t="s">
        <v>8</v>
      </c>
      <c r="C78">
        <v>36</v>
      </c>
      <c r="D78" t="s">
        <v>16</v>
      </c>
      <c r="E78" s="18">
        <v>44468</v>
      </c>
      <c r="F78" s="17" t="s">
        <v>9</v>
      </c>
      <c r="G78">
        <v>78390</v>
      </c>
      <c r="H78" t="s">
        <v>206</v>
      </c>
    </row>
    <row r="79" spans="1:8" x14ac:dyDescent="0.3">
      <c r="A79" s="17" t="s">
        <v>147</v>
      </c>
      <c r="B79" s="17" t="s">
        <v>8</v>
      </c>
      <c r="C79">
        <v>30</v>
      </c>
      <c r="D79" t="s">
        <v>16</v>
      </c>
      <c r="E79" s="18">
        <v>44789</v>
      </c>
      <c r="F79" s="17" t="s">
        <v>9</v>
      </c>
      <c r="G79">
        <v>114180</v>
      </c>
      <c r="H79" t="s">
        <v>206</v>
      </c>
    </row>
    <row r="80" spans="1:8" x14ac:dyDescent="0.3">
      <c r="A80" s="17" t="s">
        <v>189</v>
      </c>
      <c r="B80" s="17" t="s">
        <v>8</v>
      </c>
      <c r="C80">
        <v>28</v>
      </c>
      <c r="D80" t="s">
        <v>16</v>
      </c>
      <c r="E80" s="18">
        <v>44590</v>
      </c>
      <c r="F80" s="17" t="s">
        <v>9</v>
      </c>
      <c r="G80">
        <v>104120</v>
      </c>
      <c r="H80" t="s">
        <v>206</v>
      </c>
    </row>
    <row r="81" spans="1:8" x14ac:dyDescent="0.3">
      <c r="A81" s="17" t="s">
        <v>138</v>
      </c>
      <c r="B81" s="17" t="s">
        <v>15</v>
      </c>
      <c r="C81">
        <v>30</v>
      </c>
      <c r="D81" t="s">
        <v>16</v>
      </c>
      <c r="E81" s="18">
        <v>44640</v>
      </c>
      <c r="F81" s="17" t="s">
        <v>9</v>
      </c>
      <c r="G81">
        <v>67950</v>
      </c>
      <c r="H81" t="s">
        <v>206</v>
      </c>
    </row>
    <row r="82" spans="1:8" x14ac:dyDescent="0.3">
      <c r="A82" s="17" t="s">
        <v>137</v>
      </c>
      <c r="B82" s="17" t="s">
        <v>8</v>
      </c>
      <c r="C82">
        <v>29</v>
      </c>
      <c r="D82" t="s">
        <v>16</v>
      </c>
      <c r="E82" s="18">
        <v>43962</v>
      </c>
      <c r="F82" s="17" t="s">
        <v>12</v>
      </c>
      <c r="G82">
        <v>34980</v>
      </c>
      <c r="H82" t="s">
        <v>206</v>
      </c>
    </row>
    <row r="83" spans="1:8" x14ac:dyDescent="0.3">
      <c r="A83" s="17" t="s">
        <v>153</v>
      </c>
      <c r="B83" s="17" t="s">
        <v>8</v>
      </c>
      <c r="C83">
        <v>24</v>
      </c>
      <c r="D83" t="s">
        <v>16</v>
      </c>
      <c r="E83" s="18">
        <v>44087</v>
      </c>
      <c r="F83" s="17" t="s">
        <v>12</v>
      </c>
      <c r="G83">
        <v>62780</v>
      </c>
      <c r="H83" t="s">
        <v>206</v>
      </c>
    </row>
    <row r="84" spans="1:8" x14ac:dyDescent="0.3">
      <c r="A84" s="17" t="s">
        <v>117</v>
      </c>
      <c r="B84" s="17" t="s">
        <v>15</v>
      </c>
      <c r="C84">
        <v>20</v>
      </c>
      <c r="D84" t="s">
        <v>16</v>
      </c>
      <c r="E84" s="18">
        <v>44397</v>
      </c>
      <c r="F84" s="17" t="s">
        <v>12</v>
      </c>
      <c r="G84">
        <v>107700</v>
      </c>
      <c r="H84" t="s">
        <v>206</v>
      </c>
    </row>
    <row r="85" spans="1:8" x14ac:dyDescent="0.3">
      <c r="A85" s="17" t="s">
        <v>168</v>
      </c>
      <c r="B85" s="17" t="s">
        <v>15</v>
      </c>
      <c r="C85">
        <v>25</v>
      </c>
      <c r="D85" t="s">
        <v>16</v>
      </c>
      <c r="E85" s="18">
        <v>44322</v>
      </c>
      <c r="F85" s="17" t="s">
        <v>19</v>
      </c>
      <c r="G85">
        <v>65700</v>
      </c>
      <c r="H85" t="s">
        <v>206</v>
      </c>
    </row>
    <row r="86" spans="1:8" x14ac:dyDescent="0.3">
      <c r="A86" s="17" t="s">
        <v>135</v>
      </c>
      <c r="B86" s="17" t="s">
        <v>8</v>
      </c>
      <c r="C86">
        <v>33</v>
      </c>
      <c r="D86" t="s">
        <v>42</v>
      </c>
      <c r="E86" s="18">
        <v>44313</v>
      </c>
      <c r="F86" s="17" t="s">
        <v>12</v>
      </c>
      <c r="G86">
        <v>75480</v>
      </c>
      <c r="H86" t="s">
        <v>206</v>
      </c>
    </row>
    <row r="87" spans="1:8" x14ac:dyDescent="0.3">
      <c r="A87" s="17" t="s">
        <v>174</v>
      </c>
      <c r="B87" s="17" t="s">
        <v>15</v>
      </c>
      <c r="C87">
        <v>33</v>
      </c>
      <c r="D87" t="s">
        <v>16</v>
      </c>
      <c r="E87" s="18">
        <v>44448</v>
      </c>
      <c r="F87" s="17" t="s">
        <v>12</v>
      </c>
      <c r="G87">
        <v>53870</v>
      </c>
      <c r="H87" t="s">
        <v>206</v>
      </c>
    </row>
    <row r="88" spans="1:8" x14ac:dyDescent="0.3">
      <c r="A88" s="17" t="s">
        <v>141</v>
      </c>
      <c r="B88" s="17" t="s">
        <v>8</v>
      </c>
      <c r="C88">
        <v>36</v>
      </c>
      <c r="D88" t="s">
        <v>16</v>
      </c>
      <c r="E88" s="18">
        <v>44433</v>
      </c>
      <c r="F88" s="17" t="s">
        <v>19</v>
      </c>
      <c r="G88">
        <v>78540</v>
      </c>
      <c r="H88" t="s">
        <v>206</v>
      </c>
    </row>
    <row r="89" spans="1:8" x14ac:dyDescent="0.3">
      <c r="A89" s="17" t="s">
        <v>193</v>
      </c>
      <c r="B89" s="17" t="s">
        <v>15</v>
      </c>
      <c r="C89">
        <v>19</v>
      </c>
      <c r="D89" t="s">
        <v>16</v>
      </c>
      <c r="E89" s="18">
        <v>44218</v>
      </c>
      <c r="F89" s="17" t="s">
        <v>9</v>
      </c>
      <c r="G89">
        <v>58960</v>
      </c>
      <c r="H89" t="s">
        <v>206</v>
      </c>
    </row>
    <row r="90" spans="1:8" x14ac:dyDescent="0.3">
      <c r="A90" s="17" t="s">
        <v>162</v>
      </c>
      <c r="B90" s="17" t="s">
        <v>15</v>
      </c>
      <c r="C90">
        <v>46</v>
      </c>
      <c r="D90" t="s">
        <v>16</v>
      </c>
      <c r="E90" s="18">
        <v>44697</v>
      </c>
      <c r="F90" s="17" t="s">
        <v>9</v>
      </c>
      <c r="G90">
        <v>70610</v>
      </c>
      <c r="H90" t="s">
        <v>206</v>
      </c>
    </row>
    <row r="91" spans="1:8" x14ac:dyDescent="0.3">
      <c r="A91" s="17" t="s">
        <v>171</v>
      </c>
      <c r="B91" s="17" t="s">
        <v>15</v>
      </c>
      <c r="C91">
        <v>33</v>
      </c>
      <c r="D91" t="s">
        <v>16</v>
      </c>
      <c r="E91" s="18">
        <v>44181</v>
      </c>
      <c r="F91" s="17" t="s">
        <v>21</v>
      </c>
      <c r="G91">
        <v>59430</v>
      </c>
      <c r="H91" t="s">
        <v>206</v>
      </c>
    </row>
    <row r="92" spans="1:8" x14ac:dyDescent="0.3">
      <c r="A92" s="17" t="s">
        <v>144</v>
      </c>
      <c r="B92" s="17" t="s">
        <v>15</v>
      </c>
      <c r="C92">
        <v>33</v>
      </c>
      <c r="D92" t="s">
        <v>13</v>
      </c>
      <c r="E92" s="18">
        <v>44640</v>
      </c>
      <c r="F92" s="17" t="s">
        <v>9</v>
      </c>
      <c r="G92">
        <v>48530</v>
      </c>
      <c r="H92" t="s">
        <v>206</v>
      </c>
    </row>
    <row r="93" spans="1:8" x14ac:dyDescent="0.3">
      <c r="A93" s="17" t="s">
        <v>163</v>
      </c>
      <c r="B93" s="17" t="s">
        <v>8</v>
      </c>
      <c r="C93">
        <v>33</v>
      </c>
      <c r="D93" t="s">
        <v>16</v>
      </c>
      <c r="E93" s="18">
        <v>44129</v>
      </c>
      <c r="F93" s="17" t="s">
        <v>12</v>
      </c>
      <c r="G93">
        <v>96140</v>
      </c>
      <c r="H93" t="s">
        <v>206</v>
      </c>
    </row>
    <row r="94" spans="1:8" x14ac:dyDescent="0.3">
      <c r="A94" s="17" t="s">
        <v>156</v>
      </c>
      <c r="B94" s="17" t="s">
        <v>15</v>
      </c>
      <c r="C94">
        <v>20</v>
      </c>
      <c r="D94" t="s">
        <v>16</v>
      </c>
      <c r="E94" s="18">
        <v>44122</v>
      </c>
      <c r="F94" s="17" t="s">
        <v>12</v>
      </c>
      <c r="G94">
        <v>112650</v>
      </c>
      <c r="H94" t="s">
        <v>206</v>
      </c>
    </row>
    <row r="95" spans="1:8" x14ac:dyDescent="0.3">
      <c r="A95" s="17" t="s">
        <v>176</v>
      </c>
      <c r="B95" s="17" t="s">
        <v>8</v>
      </c>
      <c r="C95">
        <v>32</v>
      </c>
      <c r="D95" t="s">
        <v>13</v>
      </c>
      <c r="E95" s="18">
        <v>44293</v>
      </c>
      <c r="F95" s="17" t="s">
        <v>12</v>
      </c>
      <c r="G95">
        <v>43840</v>
      </c>
      <c r="H95" t="s">
        <v>206</v>
      </c>
    </row>
    <row r="96" spans="1:8" x14ac:dyDescent="0.3">
      <c r="A96" s="17" t="s">
        <v>143</v>
      </c>
      <c r="B96" s="17" t="s">
        <v>15</v>
      </c>
      <c r="C96">
        <v>31</v>
      </c>
      <c r="D96" t="s">
        <v>16</v>
      </c>
      <c r="E96" s="18">
        <v>44663</v>
      </c>
      <c r="F96" s="17" t="s">
        <v>9</v>
      </c>
      <c r="G96">
        <v>103550</v>
      </c>
      <c r="H96" t="s">
        <v>206</v>
      </c>
    </row>
    <row r="97" spans="1:8" x14ac:dyDescent="0.3">
      <c r="A97" s="17" t="s">
        <v>201</v>
      </c>
      <c r="B97" s="17" t="s">
        <v>8</v>
      </c>
      <c r="C97">
        <v>32</v>
      </c>
      <c r="D97" t="s">
        <v>16</v>
      </c>
      <c r="E97" s="18">
        <v>44339</v>
      </c>
      <c r="F97" s="17" t="s">
        <v>56</v>
      </c>
      <c r="G97">
        <v>45510</v>
      </c>
      <c r="H97" t="s">
        <v>206</v>
      </c>
    </row>
    <row r="98" spans="1:8" x14ac:dyDescent="0.3">
      <c r="A98" s="17" t="s">
        <v>142</v>
      </c>
      <c r="B98" s="17"/>
      <c r="C98">
        <v>37</v>
      </c>
      <c r="D98" t="s">
        <v>24</v>
      </c>
      <c r="E98" s="18">
        <v>44085</v>
      </c>
      <c r="F98" s="17" t="s">
        <v>21</v>
      </c>
      <c r="G98">
        <v>115440</v>
      </c>
      <c r="H98" t="s">
        <v>206</v>
      </c>
    </row>
    <row r="99" spans="1:8" x14ac:dyDescent="0.3">
      <c r="A99" s="17" t="s">
        <v>202</v>
      </c>
      <c r="B99" s="17" t="s">
        <v>8</v>
      </c>
      <c r="C99">
        <v>38</v>
      </c>
      <c r="D99" t="s">
        <v>13</v>
      </c>
      <c r="E99" s="18">
        <v>44268</v>
      </c>
      <c r="F99" s="17" t="s">
        <v>19</v>
      </c>
      <c r="G99">
        <v>56870</v>
      </c>
      <c r="H99" t="s">
        <v>206</v>
      </c>
    </row>
    <row r="100" spans="1:8" x14ac:dyDescent="0.3">
      <c r="A100" s="17" t="s">
        <v>169</v>
      </c>
      <c r="B100" s="17" t="s">
        <v>8</v>
      </c>
      <c r="C100">
        <v>25</v>
      </c>
      <c r="D100" t="s">
        <v>16</v>
      </c>
      <c r="E100" s="18">
        <v>44144</v>
      </c>
      <c r="F100" s="17" t="s">
        <v>19</v>
      </c>
      <c r="G100">
        <v>92700</v>
      </c>
      <c r="H100" t="s">
        <v>206</v>
      </c>
    </row>
    <row r="101" spans="1:8" x14ac:dyDescent="0.3">
      <c r="A101" s="17" t="s">
        <v>145</v>
      </c>
      <c r="B101" s="17"/>
      <c r="C101">
        <v>32</v>
      </c>
      <c r="D101" t="s">
        <v>16</v>
      </c>
      <c r="E101" s="18">
        <v>44713</v>
      </c>
      <c r="F101" s="17" t="s">
        <v>12</v>
      </c>
      <c r="G101">
        <v>91310</v>
      </c>
      <c r="H101" t="s">
        <v>206</v>
      </c>
    </row>
    <row r="102" spans="1:8" x14ac:dyDescent="0.3">
      <c r="A102" s="17" t="s">
        <v>115</v>
      </c>
      <c r="B102" s="17" t="s">
        <v>15</v>
      </c>
      <c r="C102">
        <v>33</v>
      </c>
      <c r="D102" t="s">
        <v>16</v>
      </c>
      <c r="E102" s="18">
        <v>44324</v>
      </c>
      <c r="F102" s="17" t="s">
        <v>19</v>
      </c>
      <c r="G102">
        <v>74550</v>
      </c>
      <c r="H102" t="s">
        <v>206</v>
      </c>
    </row>
    <row r="103" spans="1:8" x14ac:dyDescent="0.3">
      <c r="A103" s="17" t="s">
        <v>128</v>
      </c>
      <c r="B103" s="17" t="s">
        <v>15</v>
      </c>
      <c r="C103">
        <v>25</v>
      </c>
      <c r="D103" t="s">
        <v>13</v>
      </c>
      <c r="E103" s="18">
        <v>44665</v>
      </c>
      <c r="F103" s="17" t="s">
        <v>9</v>
      </c>
      <c r="G103">
        <v>109190</v>
      </c>
      <c r="H103" t="s">
        <v>206</v>
      </c>
    </row>
    <row r="104" spans="1:8" x14ac:dyDescent="0.3">
      <c r="A104" s="17" t="s">
        <v>194</v>
      </c>
      <c r="B104" s="17" t="s">
        <v>8</v>
      </c>
      <c r="C104">
        <v>40</v>
      </c>
      <c r="D104" t="s">
        <v>16</v>
      </c>
      <c r="E104" s="18">
        <v>44320</v>
      </c>
      <c r="F104" s="17" t="s">
        <v>12</v>
      </c>
      <c r="G104">
        <v>104410</v>
      </c>
      <c r="H104" t="s">
        <v>206</v>
      </c>
    </row>
    <row r="105" spans="1:8" x14ac:dyDescent="0.3">
      <c r="A105" s="17" t="s">
        <v>177</v>
      </c>
      <c r="B105" s="17" t="s">
        <v>15</v>
      </c>
      <c r="C105">
        <v>30</v>
      </c>
      <c r="D105" t="s">
        <v>16</v>
      </c>
      <c r="E105" s="18">
        <v>44544</v>
      </c>
      <c r="F105" s="17" t="s">
        <v>21</v>
      </c>
      <c r="G105">
        <v>96800</v>
      </c>
      <c r="H105" t="s">
        <v>206</v>
      </c>
    </row>
    <row r="106" spans="1:8" x14ac:dyDescent="0.3">
      <c r="A106" s="17" t="s">
        <v>123</v>
      </c>
      <c r="B106" s="17" t="s">
        <v>15</v>
      </c>
      <c r="C106">
        <v>28</v>
      </c>
      <c r="D106" t="s">
        <v>13</v>
      </c>
      <c r="E106" s="18">
        <v>43980</v>
      </c>
      <c r="F106" s="17" t="s">
        <v>21</v>
      </c>
      <c r="G106">
        <v>48170</v>
      </c>
      <c r="H106" t="s">
        <v>206</v>
      </c>
    </row>
    <row r="107" spans="1:8" x14ac:dyDescent="0.3">
      <c r="A107" s="17" t="s">
        <v>140</v>
      </c>
      <c r="B107" s="17" t="s">
        <v>15</v>
      </c>
      <c r="C107">
        <v>21</v>
      </c>
      <c r="D107" t="s">
        <v>16</v>
      </c>
      <c r="E107" s="18">
        <v>44042</v>
      </c>
      <c r="F107" s="17" t="s">
        <v>9</v>
      </c>
      <c r="G107">
        <v>37920</v>
      </c>
      <c r="H107" t="s">
        <v>206</v>
      </c>
    </row>
    <row r="108" spans="1:8" x14ac:dyDescent="0.3">
      <c r="A108" s="17" t="s">
        <v>178</v>
      </c>
      <c r="B108" s="17" t="s">
        <v>15</v>
      </c>
      <c r="C108">
        <v>34</v>
      </c>
      <c r="D108" t="s">
        <v>16</v>
      </c>
      <c r="E108" s="18">
        <v>44642</v>
      </c>
      <c r="F108" s="17" t="s">
        <v>9</v>
      </c>
      <c r="G108">
        <v>112650</v>
      </c>
      <c r="H108" t="s">
        <v>206</v>
      </c>
    </row>
    <row r="109" spans="1:8" x14ac:dyDescent="0.3">
      <c r="A109" s="17" t="s">
        <v>165</v>
      </c>
      <c r="B109" s="17" t="s">
        <v>8</v>
      </c>
      <c r="C109">
        <v>34</v>
      </c>
      <c r="D109" t="s">
        <v>24</v>
      </c>
      <c r="E109" s="18">
        <v>44660</v>
      </c>
      <c r="F109" s="17" t="s">
        <v>19</v>
      </c>
      <c r="G109">
        <v>49630</v>
      </c>
      <c r="H109" t="s">
        <v>206</v>
      </c>
    </row>
    <row r="110" spans="1:8" x14ac:dyDescent="0.3">
      <c r="A110" s="17" t="s">
        <v>199</v>
      </c>
      <c r="B110" s="17" t="s">
        <v>15</v>
      </c>
      <c r="C110">
        <v>36</v>
      </c>
      <c r="D110" t="s">
        <v>16</v>
      </c>
      <c r="E110" s="18">
        <v>43958</v>
      </c>
      <c r="F110" s="17" t="s">
        <v>12</v>
      </c>
      <c r="G110">
        <v>118840</v>
      </c>
      <c r="H110" t="s">
        <v>206</v>
      </c>
    </row>
    <row r="111" spans="1:8" x14ac:dyDescent="0.3">
      <c r="A111" s="17" t="s">
        <v>159</v>
      </c>
      <c r="B111" s="17" t="s">
        <v>15</v>
      </c>
      <c r="C111">
        <v>30</v>
      </c>
      <c r="D111" t="s">
        <v>16</v>
      </c>
      <c r="E111" s="18">
        <v>44789</v>
      </c>
      <c r="F111" s="17" t="s">
        <v>12</v>
      </c>
      <c r="G111">
        <v>69710</v>
      </c>
      <c r="H111" t="s">
        <v>206</v>
      </c>
    </row>
    <row r="112" spans="1:8" x14ac:dyDescent="0.3">
      <c r="A112" s="17" t="s">
        <v>197</v>
      </c>
      <c r="B112" s="17" t="s">
        <v>15</v>
      </c>
      <c r="C112">
        <v>20</v>
      </c>
      <c r="D112" t="s">
        <v>16</v>
      </c>
      <c r="E112" s="18">
        <v>44683</v>
      </c>
      <c r="F112" s="17" t="s">
        <v>9</v>
      </c>
      <c r="G112">
        <v>79570</v>
      </c>
      <c r="H112" t="s">
        <v>206</v>
      </c>
    </row>
    <row r="113" spans="1:8" x14ac:dyDescent="0.3">
      <c r="A113" s="17" t="s">
        <v>154</v>
      </c>
      <c r="B113" s="17" t="s">
        <v>8</v>
      </c>
      <c r="C113">
        <v>22</v>
      </c>
      <c r="D113" t="s">
        <v>13</v>
      </c>
      <c r="E113" s="18">
        <v>44388</v>
      </c>
      <c r="F113" s="17" t="s">
        <v>9</v>
      </c>
      <c r="G113">
        <v>76900</v>
      </c>
      <c r="H113" t="s">
        <v>206</v>
      </c>
    </row>
    <row r="114" spans="1:8" x14ac:dyDescent="0.3">
      <c r="A114" s="17" t="s">
        <v>203</v>
      </c>
      <c r="B114" s="17"/>
      <c r="E114" s="18"/>
      <c r="F114" s="17"/>
      <c r="G114">
        <v>112</v>
      </c>
      <c r="H114" t="s">
        <v>206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B897-042F-4D0C-8B6D-8CA6E2B9DB58}">
  <dimension ref="A1:H102"/>
  <sheetViews>
    <sheetView workbookViewId="0"/>
  </sheetViews>
  <sheetFormatPr defaultRowHeight="14.4" x14ac:dyDescent="0.3"/>
  <cols>
    <col min="1" max="1" width="19.6640625" bestFit="1" customWidth="1"/>
    <col min="2" max="2" width="9.33203125" bestFit="1" customWidth="1"/>
    <col min="3" max="3" width="13.33203125" bestFit="1" customWidth="1"/>
    <col min="4" max="4" width="6.44140625" bestFit="1" customWidth="1"/>
    <col min="5" max="5" width="14.6640625" bestFit="1" customWidth="1"/>
    <col min="6" max="6" width="8.33203125" bestFit="1" customWidth="1"/>
    <col min="7" max="7" width="13.109375" bestFit="1" customWidth="1"/>
    <col min="8" max="8" width="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204</v>
      </c>
    </row>
    <row r="2" spans="1:8" x14ac:dyDescent="0.3">
      <c r="A2" s="17" t="s">
        <v>58</v>
      </c>
      <c r="B2" s="17" t="s">
        <v>15</v>
      </c>
      <c r="C2" s="17" t="s">
        <v>19</v>
      </c>
      <c r="D2">
        <v>22</v>
      </c>
      <c r="E2" s="18">
        <v>44446</v>
      </c>
      <c r="F2">
        <v>112780</v>
      </c>
      <c r="G2" t="s">
        <v>13</v>
      </c>
      <c r="H2" t="s">
        <v>205</v>
      </c>
    </row>
    <row r="3" spans="1:8" x14ac:dyDescent="0.3">
      <c r="A3" s="17" t="s">
        <v>70</v>
      </c>
      <c r="B3" s="17" t="s">
        <v>15</v>
      </c>
      <c r="C3" s="17" t="s">
        <v>9</v>
      </c>
      <c r="D3">
        <v>46</v>
      </c>
      <c r="E3" s="18">
        <v>44758</v>
      </c>
      <c r="F3">
        <v>70610</v>
      </c>
      <c r="G3" t="s">
        <v>16</v>
      </c>
      <c r="H3" t="s">
        <v>205</v>
      </c>
    </row>
    <row r="4" spans="1:8" x14ac:dyDescent="0.3">
      <c r="A4" s="17" t="s">
        <v>75</v>
      </c>
      <c r="B4" s="17" t="s">
        <v>8</v>
      </c>
      <c r="C4" s="17" t="s">
        <v>19</v>
      </c>
      <c r="D4">
        <v>28</v>
      </c>
      <c r="E4" s="18">
        <v>44357</v>
      </c>
      <c r="F4">
        <v>53240</v>
      </c>
      <c r="G4" t="s">
        <v>16</v>
      </c>
      <c r="H4" t="s">
        <v>205</v>
      </c>
    </row>
    <row r="5" spans="1:8" x14ac:dyDescent="0.3">
      <c r="A5" s="17" t="s">
        <v>49</v>
      </c>
      <c r="B5" s="17"/>
      <c r="C5" s="17" t="s">
        <v>21</v>
      </c>
      <c r="D5">
        <v>37</v>
      </c>
      <c r="E5" s="18">
        <v>44146</v>
      </c>
      <c r="F5">
        <v>115440</v>
      </c>
      <c r="G5" t="s">
        <v>24</v>
      </c>
      <c r="H5" t="s">
        <v>205</v>
      </c>
    </row>
    <row r="6" spans="1:8" x14ac:dyDescent="0.3">
      <c r="A6" s="17" t="s">
        <v>65</v>
      </c>
      <c r="B6" s="17" t="s">
        <v>15</v>
      </c>
      <c r="C6" s="17" t="s">
        <v>19</v>
      </c>
      <c r="D6">
        <v>32</v>
      </c>
      <c r="E6" s="18">
        <v>44465</v>
      </c>
      <c r="F6">
        <v>53540</v>
      </c>
      <c r="G6" t="s">
        <v>16</v>
      </c>
      <c r="H6" t="s">
        <v>205</v>
      </c>
    </row>
    <row r="7" spans="1:8" x14ac:dyDescent="0.3">
      <c r="A7" s="17" t="s">
        <v>81</v>
      </c>
      <c r="B7" s="17" t="s">
        <v>8</v>
      </c>
      <c r="C7" s="17" t="s">
        <v>9</v>
      </c>
      <c r="D7">
        <v>30</v>
      </c>
      <c r="E7" s="18">
        <v>44861</v>
      </c>
      <c r="F7">
        <v>112570</v>
      </c>
      <c r="G7" t="s">
        <v>16</v>
      </c>
      <c r="H7" t="s">
        <v>205</v>
      </c>
    </row>
    <row r="8" spans="1:8" x14ac:dyDescent="0.3">
      <c r="A8" s="17" t="s">
        <v>51</v>
      </c>
      <c r="B8" s="17" t="s">
        <v>15</v>
      </c>
      <c r="C8" s="17" t="s">
        <v>9</v>
      </c>
      <c r="D8">
        <v>33</v>
      </c>
      <c r="E8" s="18">
        <v>44701</v>
      </c>
      <c r="F8">
        <v>48530</v>
      </c>
      <c r="G8" t="s">
        <v>13</v>
      </c>
      <c r="H8" t="s">
        <v>205</v>
      </c>
    </row>
    <row r="9" spans="1:8" x14ac:dyDescent="0.3">
      <c r="A9" s="17" t="s">
        <v>61</v>
      </c>
      <c r="B9" s="17" t="s">
        <v>8</v>
      </c>
      <c r="C9" s="17" t="s">
        <v>12</v>
      </c>
      <c r="D9">
        <v>24</v>
      </c>
      <c r="E9" s="18">
        <v>44148</v>
      </c>
      <c r="F9">
        <v>62780</v>
      </c>
      <c r="G9" t="s">
        <v>16</v>
      </c>
      <c r="H9" t="s">
        <v>205</v>
      </c>
    </row>
    <row r="10" spans="1:8" x14ac:dyDescent="0.3">
      <c r="A10" s="17" t="s">
        <v>82</v>
      </c>
      <c r="B10" s="17" t="s">
        <v>15</v>
      </c>
      <c r="C10" s="17" t="s">
        <v>12</v>
      </c>
      <c r="D10">
        <v>33</v>
      </c>
      <c r="E10" s="18">
        <v>44509</v>
      </c>
      <c r="F10">
        <v>53870</v>
      </c>
      <c r="G10" t="s">
        <v>16</v>
      </c>
      <c r="H10" t="s">
        <v>205</v>
      </c>
    </row>
    <row r="11" spans="1:8" x14ac:dyDescent="0.3">
      <c r="A11" s="17" t="s">
        <v>60</v>
      </c>
      <c r="B11" s="17" t="s">
        <v>8</v>
      </c>
      <c r="C11" s="17" t="s">
        <v>56</v>
      </c>
      <c r="D11">
        <v>27</v>
      </c>
      <c r="E11" s="18">
        <v>44122</v>
      </c>
      <c r="F11">
        <v>119110</v>
      </c>
      <c r="G11" t="s">
        <v>16</v>
      </c>
      <c r="H11" t="s">
        <v>205</v>
      </c>
    </row>
    <row r="12" spans="1:8" x14ac:dyDescent="0.3">
      <c r="A12" s="17" t="s">
        <v>87</v>
      </c>
      <c r="B12" s="17" t="s">
        <v>15</v>
      </c>
      <c r="C12" s="17" t="s">
        <v>12</v>
      </c>
      <c r="D12">
        <v>29</v>
      </c>
      <c r="E12" s="18">
        <v>44180</v>
      </c>
      <c r="F12">
        <v>112110</v>
      </c>
      <c r="G12" t="s">
        <v>24</v>
      </c>
      <c r="H12" t="s">
        <v>205</v>
      </c>
    </row>
    <row r="13" spans="1:8" x14ac:dyDescent="0.3">
      <c r="A13" s="17" t="s">
        <v>76</v>
      </c>
      <c r="B13" s="17" t="s">
        <v>15</v>
      </c>
      <c r="C13" s="17" t="s">
        <v>19</v>
      </c>
      <c r="D13">
        <v>25</v>
      </c>
      <c r="E13" s="18">
        <v>44383</v>
      </c>
      <c r="F13">
        <v>65700</v>
      </c>
      <c r="G13" t="s">
        <v>16</v>
      </c>
      <c r="H13" t="s">
        <v>205</v>
      </c>
    </row>
    <row r="14" spans="1:8" x14ac:dyDescent="0.3">
      <c r="A14" s="17" t="s">
        <v>97</v>
      </c>
      <c r="B14" s="17" t="s">
        <v>15</v>
      </c>
      <c r="C14" s="17" t="s">
        <v>12</v>
      </c>
      <c r="D14">
        <v>37</v>
      </c>
      <c r="E14" s="18">
        <v>44701</v>
      </c>
      <c r="F14">
        <v>69070</v>
      </c>
      <c r="G14" t="s">
        <v>16</v>
      </c>
      <c r="H14" t="s">
        <v>205</v>
      </c>
    </row>
    <row r="15" spans="1:8" x14ac:dyDescent="0.3">
      <c r="A15" s="17" t="s">
        <v>22</v>
      </c>
      <c r="B15" s="17" t="s">
        <v>15</v>
      </c>
      <c r="C15" s="17" t="s">
        <v>12</v>
      </c>
      <c r="D15">
        <v>20</v>
      </c>
      <c r="E15" s="18">
        <v>44459</v>
      </c>
      <c r="F15">
        <v>107700</v>
      </c>
      <c r="G15" t="s">
        <v>16</v>
      </c>
      <c r="H15" t="s">
        <v>205</v>
      </c>
    </row>
    <row r="16" spans="1:8" x14ac:dyDescent="0.3">
      <c r="A16" s="17" t="s">
        <v>84</v>
      </c>
      <c r="B16" s="17" t="s">
        <v>8</v>
      </c>
      <c r="C16" s="17" t="s">
        <v>12</v>
      </c>
      <c r="D16">
        <v>32</v>
      </c>
      <c r="E16" s="18">
        <v>44354</v>
      </c>
      <c r="F16">
        <v>43840</v>
      </c>
      <c r="G16" t="s">
        <v>13</v>
      </c>
      <c r="H16" t="s">
        <v>205</v>
      </c>
    </row>
    <row r="17" spans="1:8" x14ac:dyDescent="0.3">
      <c r="A17" s="17" t="s">
        <v>105</v>
      </c>
      <c r="B17" s="17" t="s">
        <v>15</v>
      </c>
      <c r="C17" s="17" t="s">
        <v>9</v>
      </c>
      <c r="D17">
        <v>40</v>
      </c>
      <c r="E17" s="18">
        <v>44263</v>
      </c>
      <c r="F17">
        <v>99750</v>
      </c>
      <c r="G17" t="s">
        <v>16</v>
      </c>
      <c r="H17" t="s">
        <v>205</v>
      </c>
    </row>
    <row r="18" spans="1:8" x14ac:dyDescent="0.3">
      <c r="A18" s="17" t="s">
        <v>47</v>
      </c>
      <c r="B18" s="17" t="s">
        <v>15</v>
      </c>
      <c r="C18" s="17" t="s">
        <v>9</v>
      </c>
      <c r="D18">
        <v>21</v>
      </c>
      <c r="E18" s="18">
        <v>44104</v>
      </c>
      <c r="F18">
        <v>37920</v>
      </c>
      <c r="G18" t="s">
        <v>16</v>
      </c>
      <c r="H18" t="s">
        <v>205</v>
      </c>
    </row>
    <row r="19" spans="1:8" x14ac:dyDescent="0.3">
      <c r="A19" s="17" t="s">
        <v>31</v>
      </c>
      <c r="B19" s="17" t="s">
        <v>15</v>
      </c>
      <c r="C19" s="17" t="s">
        <v>9</v>
      </c>
      <c r="D19">
        <v>21</v>
      </c>
      <c r="E19" s="18">
        <v>44762</v>
      </c>
      <c r="F19">
        <v>57090</v>
      </c>
      <c r="G19" t="s">
        <v>16</v>
      </c>
      <c r="H19" t="s">
        <v>205</v>
      </c>
    </row>
    <row r="20" spans="1:8" x14ac:dyDescent="0.3">
      <c r="A20" s="17" t="s">
        <v>30</v>
      </c>
      <c r="B20" s="17" t="s">
        <v>8</v>
      </c>
      <c r="C20" s="17" t="s">
        <v>12</v>
      </c>
      <c r="D20">
        <v>31</v>
      </c>
      <c r="E20" s="18">
        <v>44145</v>
      </c>
      <c r="F20">
        <v>41980</v>
      </c>
      <c r="G20" t="s">
        <v>16</v>
      </c>
      <c r="H20" t="s">
        <v>205</v>
      </c>
    </row>
    <row r="21" spans="1:8" x14ac:dyDescent="0.3">
      <c r="A21" s="17" t="s">
        <v>78</v>
      </c>
      <c r="B21" s="17" t="s">
        <v>15</v>
      </c>
      <c r="C21" s="17" t="s">
        <v>56</v>
      </c>
      <c r="D21">
        <v>21</v>
      </c>
      <c r="E21" s="18">
        <v>44242</v>
      </c>
      <c r="F21">
        <v>75880</v>
      </c>
      <c r="G21" t="s">
        <v>16</v>
      </c>
      <c r="H21" t="s">
        <v>205</v>
      </c>
    </row>
    <row r="22" spans="1:8" x14ac:dyDescent="0.3">
      <c r="A22" s="17" t="s">
        <v>36</v>
      </c>
      <c r="B22" s="17" t="s">
        <v>8</v>
      </c>
      <c r="C22" s="17" t="s">
        <v>21</v>
      </c>
      <c r="D22">
        <v>34</v>
      </c>
      <c r="E22" s="18">
        <v>44653</v>
      </c>
      <c r="F22">
        <v>58940</v>
      </c>
      <c r="G22" t="s">
        <v>16</v>
      </c>
      <c r="H22" t="s">
        <v>205</v>
      </c>
    </row>
    <row r="23" spans="1:8" x14ac:dyDescent="0.3">
      <c r="A23" s="17" t="s">
        <v>27</v>
      </c>
      <c r="B23" s="17" t="s">
        <v>8</v>
      </c>
      <c r="C23" s="17" t="s">
        <v>21</v>
      </c>
      <c r="D23">
        <v>30</v>
      </c>
      <c r="E23" s="18">
        <v>44389</v>
      </c>
      <c r="F23">
        <v>67910</v>
      </c>
      <c r="G23" t="s">
        <v>24</v>
      </c>
      <c r="H23" t="s">
        <v>205</v>
      </c>
    </row>
    <row r="24" spans="1:8" x14ac:dyDescent="0.3">
      <c r="A24" s="17" t="s">
        <v>26</v>
      </c>
      <c r="B24" s="17" t="s">
        <v>8</v>
      </c>
      <c r="C24" s="17" t="s">
        <v>12</v>
      </c>
      <c r="D24">
        <v>31</v>
      </c>
      <c r="E24" s="18">
        <v>44663</v>
      </c>
      <c r="F24">
        <v>58100</v>
      </c>
      <c r="G24" t="s">
        <v>16</v>
      </c>
      <c r="H24" t="s">
        <v>205</v>
      </c>
    </row>
    <row r="25" spans="1:8" x14ac:dyDescent="0.3">
      <c r="A25" s="17" t="s">
        <v>53</v>
      </c>
      <c r="B25" s="17" t="s">
        <v>15</v>
      </c>
      <c r="C25" s="17" t="s">
        <v>21</v>
      </c>
      <c r="D25">
        <v>27</v>
      </c>
      <c r="E25" s="18">
        <v>44567</v>
      </c>
      <c r="F25">
        <v>48980</v>
      </c>
      <c r="G25" t="s">
        <v>16</v>
      </c>
      <c r="H25" t="s">
        <v>205</v>
      </c>
    </row>
    <row r="26" spans="1:8" x14ac:dyDescent="0.3">
      <c r="A26" s="17" t="s">
        <v>20</v>
      </c>
      <c r="B26" s="17"/>
      <c r="C26" s="17" t="s">
        <v>21</v>
      </c>
      <c r="D26">
        <v>30</v>
      </c>
      <c r="E26" s="18">
        <v>44597</v>
      </c>
      <c r="F26">
        <v>64000</v>
      </c>
      <c r="G26" t="s">
        <v>16</v>
      </c>
      <c r="H26" t="s">
        <v>205</v>
      </c>
    </row>
    <row r="27" spans="1:8" x14ac:dyDescent="0.3">
      <c r="A27" s="17" t="s">
        <v>7</v>
      </c>
      <c r="B27" s="17" t="s">
        <v>8</v>
      </c>
      <c r="C27" s="17" t="s">
        <v>9</v>
      </c>
      <c r="D27">
        <v>42</v>
      </c>
      <c r="E27" s="18">
        <v>44779</v>
      </c>
      <c r="F27">
        <v>75000</v>
      </c>
      <c r="G27" t="s">
        <v>10</v>
      </c>
      <c r="H27" t="s">
        <v>205</v>
      </c>
    </row>
    <row r="28" spans="1:8" x14ac:dyDescent="0.3">
      <c r="A28" s="17" t="s">
        <v>74</v>
      </c>
      <c r="B28" s="17" t="s">
        <v>8</v>
      </c>
      <c r="C28" s="17" t="s">
        <v>12</v>
      </c>
      <c r="D28">
        <v>40</v>
      </c>
      <c r="E28" s="18">
        <v>44337</v>
      </c>
      <c r="F28">
        <v>87620</v>
      </c>
      <c r="G28" t="s">
        <v>16</v>
      </c>
      <c r="H28" t="s">
        <v>205</v>
      </c>
    </row>
    <row r="29" spans="1:8" x14ac:dyDescent="0.3">
      <c r="A29" s="17" t="s">
        <v>44</v>
      </c>
      <c r="B29" s="17" t="s">
        <v>8</v>
      </c>
      <c r="C29" s="17" t="s">
        <v>12</v>
      </c>
      <c r="D29">
        <v>29</v>
      </c>
      <c r="E29" s="18">
        <v>44023</v>
      </c>
      <c r="F29">
        <v>34980</v>
      </c>
      <c r="G29" t="s">
        <v>16</v>
      </c>
      <c r="H29" t="s">
        <v>205</v>
      </c>
    </row>
    <row r="30" spans="1:8" x14ac:dyDescent="0.3">
      <c r="A30" s="17" t="s">
        <v>35</v>
      </c>
      <c r="B30" s="17" t="s">
        <v>8</v>
      </c>
      <c r="C30" s="17" t="s">
        <v>21</v>
      </c>
      <c r="D30">
        <v>28</v>
      </c>
      <c r="E30" s="18">
        <v>44185</v>
      </c>
      <c r="F30">
        <v>75970</v>
      </c>
      <c r="G30" t="s">
        <v>16</v>
      </c>
      <c r="H30" t="s">
        <v>205</v>
      </c>
    </row>
    <row r="31" spans="1:8" x14ac:dyDescent="0.3">
      <c r="A31" s="17" t="s">
        <v>38</v>
      </c>
      <c r="B31" s="17" t="s">
        <v>8</v>
      </c>
      <c r="C31" s="17" t="s">
        <v>21</v>
      </c>
      <c r="D31">
        <v>34</v>
      </c>
      <c r="E31" s="18">
        <v>44612</v>
      </c>
      <c r="F31">
        <v>60130</v>
      </c>
      <c r="G31" t="s">
        <v>16</v>
      </c>
      <c r="H31" t="s">
        <v>205</v>
      </c>
    </row>
    <row r="32" spans="1:8" x14ac:dyDescent="0.3">
      <c r="A32" s="17" t="s">
        <v>41</v>
      </c>
      <c r="B32" s="17" t="s">
        <v>8</v>
      </c>
      <c r="C32" s="17" t="s">
        <v>12</v>
      </c>
      <c r="D32">
        <v>33</v>
      </c>
      <c r="E32" s="18">
        <v>44374</v>
      </c>
      <c r="F32">
        <v>75480</v>
      </c>
      <c r="G32" t="s">
        <v>42</v>
      </c>
      <c r="H32" t="s">
        <v>205</v>
      </c>
    </row>
    <row r="33" spans="1:8" x14ac:dyDescent="0.3">
      <c r="A33" s="17" t="s">
        <v>40</v>
      </c>
      <c r="B33" s="17" t="s">
        <v>15</v>
      </c>
      <c r="C33" s="17" t="s">
        <v>9</v>
      </c>
      <c r="D33">
        <v>33</v>
      </c>
      <c r="E33" s="18">
        <v>44164</v>
      </c>
      <c r="F33">
        <v>115920</v>
      </c>
      <c r="G33" t="s">
        <v>16</v>
      </c>
      <c r="H33" t="s">
        <v>205</v>
      </c>
    </row>
    <row r="34" spans="1:8" x14ac:dyDescent="0.3">
      <c r="A34" s="17" t="s">
        <v>48</v>
      </c>
      <c r="B34" s="17" t="s">
        <v>8</v>
      </c>
      <c r="C34" s="17" t="s">
        <v>19</v>
      </c>
      <c r="D34">
        <v>36</v>
      </c>
      <c r="E34" s="18">
        <v>44494</v>
      </c>
      <c r="F34">
        <v>78540</v>
      </c>
      <c r="G34" t="s">
        <v>16</v>
      </c>
      <c r="H34" t="s">
        <v>205</v>
      </c>
    </row>
    <row r="35" spans="1:8" x14ac:dyDescent="0.3">
      <c r="A35" s="17" t="s">
        <v>34</v>
      </c>
      <c r="B35" s="17" t="s">
        <v>15</v>
      </c>
      <c r="C35" s="17" t="s">
        <v>9</v>
      </c>
      <c r="D35">
        <v>25</v>
      </c>
      <c r="E35" s="18">
        <v>44726</v>
      </c>
      <c r="F35">
        <v>109190</v>
      </c>
      <c r="G35" t="s">
        <v>13</v>
      </c>
      <c r="H35" t="s">
        <v>205</v>
      </c>
    </row>
    <row r="36" spans="1:8" x14ac:dyDescent="0.3">
      <c r="A36" s="17" t="s">
        <v>73</v>
      </c>
      <c r="B36" s="17" t="s">
        <v>8</v>
      </c>
      <c r="C36" s="17" t="s">
        <v>19</v>
      </c>
      <c r="D36">
        <v>34</v>
      </c>
      <c r="E36" s="18">
        <v>44721</v>
      </c>
      <c r="F36">
        <v>49630</v>
      </c>
      <c r="G36" t="s">
        <v>24</v>
      </c>
      <c r="H36" t="s">
        <v>205</v>
      </c>
    </row>
    <row r="37" spans="1:8" x14ac:dyDescent="0.3">
      <c r="A37" s="17" t="s">
        <v>107</v>
      </c>
      <c r="B37" s="17" t="s">
        <v>8</v>
      </c>
      <c r="C37" s="17" t="s">
        <v>9</v>
      </c>
      <c r="D37">
        <v>28</v>
      </c>
      <c r="E37" s="18">
        <v>44630</v>
      </c>
      <c r="F37">
        <v>99970</v>
      </c>
      <c r="G37" t="s">
        <v>16</v>
      </c>
      <c r="H37" t="s">
        <v>205</v>
      </c>
    </row>
    <row r="38" spans="1:8" x14ac:dyDescent="0.3">
      <c r="A38" s="17" t="s">
        <v>71</v>
      </c>
      <c r="B38" s="17" t="s">
        <v>8</v>
      </c>
      <c r="C38" s="17" t="s">
        <v>12</v>
      </c>
      <c r="D38">
        <v>33</v>
      </c>
      <c r="E38" s="18">
        <v>44190</v>
      </c>
      <c r="F38">
        <v>96140</v>
      </c>
      <c r="G38" t="s">
        <v>16</v>
      </c>
      <c r="H38" t="s">
        <v>205</v>
      </c>
    </row>
    <row r="39" spans="1:8" x14ac:dyDescent="0.3">
      <c r="A39" s="17" t="s">
        <v>50</v>
      </c>
      <c r="B39" s="17" t="s">
        <v>15</v>
      </c>
      <c r="C39" s="17" t="s">
        <v>9</v>
      </c>
      <c r="D39">
        <v>31</v>
      </c>
      <c r="E39" s="18">
        <v>44724</v>
      </c>
      <c r="F39">
        <v>103550</v>
      </c>
      <c r="G39" t="s">
        <v>16</v>
      </c>
      <c r="H39" t="s">
        <v>205</v>
      </c>
    </row>
    <row r="40" spans="1:8" x14ac:dyDescent="0.3">
      <c r="A40" s="17" t="s">
        <v>14</v>
      </c>
      <c r="B40" s="17" t="s">
        <v>15</v>
      </c>
      <c r="C40" s="17" t="s">
        <v>12</v>
      </c>
      <c r="D40">
        <v>31</v>
      </c>
      <c r="E40" s="18">
        <v>44511</v>
      </c>
      <c r="F40">
        <v>48950</v>
      </c>
      <c r="G40" t="s">
        <v>16</v>
      </c>
      <c r="H40" t="s">
        <v>205</v>
      </c>
    </row>
    <row r="41" spans="1:8" x14ac:dyDescent="0.3">
      <c r="A41" s="17" t="s">
        <v>63</v>
      </c>
      <c r="B41" s="17" t="s">
        <v>15</v>
      </c>
      <c r="C41" s="17" t="s">
        <v>21</v>
      </c>
      <c r="D41">
        <v>24</v>
      </c>
      <c r="E41" s="18">
        <v>44436</v>
      </c>
      <c r="F41">
        <v>52610</v>
      </c>
      <c r="G41" t="s">
        <v>24</v>
      </c>
      <c r="H41" t="s">
        <v>205</v>
      </c>
    </row>
    <row r="42" spans="1:8" x14ac:dyDescent="0.3">
      <c r="A42" s="17" t="s">
        <v>72</v>
      </c>
      <c r="B42" s="17" t="s">
        <v>8</v>
      </c>
      <c r="C42" s="17" t="s">
        <v>9</v>
      </c>
      <c r="D42">
        <v>36</v>
      </c>
      <c r="E42" s="18">
        <v>44529</v>
      </c>
      <c r="F42">
        <v>78390</v>
      </c>
      <c r="G42" t="s">
        <v>16</v>
      </c>
      <c r="H42" t="s">
        <v>205</v>
      </c>
    </row>
    <row r="43" spans="1:8" x14ac:dyDescent="0.3">
      <c r="A43" s="17" t="s">
        <v>88</v>
      </c>
      <c r="B43" s="17" t="s">
        <v>8</v>
      </c>
      <c r="C43" s="17" t="s">
        <v>21</v>
      </c>
      <c r="D43">
        <v>33</v>
      </c>
      <c r="E43" s="18">
        <v>44809</v>
      </c>
      <c r="F43">
        <v>86570</v>
      </c>
      <c r="G43" t="s">
        <v>16</v>
      </c>
      <c r="H43" t="s">
        <v>205</v>
      </c>
    </row>
    <row r="44" spans="1:8" x14ac:dyDescent="0.3">
      <c r="A44" s="17" t="s">
        <v>92</v>
      </c>
      <c r="B44" s="17" t="s">
        <v>8</v>
      </c>
      <c r="C44" s="17" t="s">
        <v>12</v>
      </c>
      <c r="D44">
        <v>27</v>
      </c>
      <c r="E44" s="18">
        <v>44686</v>
      </c>
      <c r="F44">
        <v>83750</v>
      </c>
      <c r="G44" t="s">
        <v>16</v>
      </c>
      <c r="H44" t="s">
        <v>205</v>
      </c>
    </row>
    <row r="45" spans="1:8" x14ac:dyDescent="0.3">
      <c r="A45" s="17" t="s">
        <v>102</v>
      </c>
      <c r="B45" s="17" t="s">
        <v>8</v>
      </c>
      <c r="C45" s="17" t="s">
        <v>21</v>
      </c>
      <c r="D45">
        <v>34</v>
      </c>
      <c r="E45" s="18">
        <v>44445</v>
      </c>
      <c r="F45">
        <v>92450</v>
      </c>
      <c r="G45" t="s">
        <v>16</v>
      </c>
      <c r="H45" t="s">
        <v>205</v>
      </c>
    </row>
    <row r="46" spans="1:8" x14ac:dyDescent="0.3">
      <c r="A46" s="17" t="s">
        <v>64</v>
      </c>
      <c r="B46" s="17" t="s">
        <v>15</v>
      </c>
      <c r="C46" s="17" t="s">
        <v>12</v>
      </c>
      <c r="D46">
        <v>20</v>
      </c>
      <c r="E46" s="18">
        <v>44183</v>
      </c>
      <c r="F46">
        <v>112650</v>
      </c>
      <c r="G46" t="s">
        <v>16</v>
      </c>
      <c r="H46" t="s">
        <v>205</v>
      </c>
    </row>
    <row r="47" spans="1:8" x14ac:dyDescent="0.3">
      <c r="A47" s="17" t="s">
        <v>104</v>
      </c>
      <c r="B47" s="17" t="s">
        <v>15</v>
      </c>
      <c r="C47" s="17" t="s">
        <v>9</v>
      </c>
      <c r="D47">
        <v>20</v>
      </c>
      <c r="E47" s="18">
        <v>44744</v>
      </c>
      <c r="F47">
        <v>79570</v>
      </c>
      <c r="G47" t="s">
        <v>16</v>
      </c>
      <c r="H47" t="s">
        <v>205</v>
      </c>
    </row>
    <row r="48" spans="1:8" x14ac:dyDescent="0.3">
      <c r="A48" s="17" t="s">
        <v>91</v>
      </c>
      <c r="B48" s="17" t="s">
        <v>8</v>
      </c>
      <c r="C48" s="17" t="s">
        <v>19</v>
      </c>
      <c r="D48">
        <v>20</v>
      </c>
      <c r="E48" s="18">
        <v>44537</v>
      </c>
      <c r="F48">
        <v>68900</v>
      </c>
      <c r="G48" t="s">
        <v>24</v>
      </c>
      <c r="H48" t="s">
        <v>205</v>
      </c>
    </row>
    <row r="49" spans="1:8" x14ac:dyDescent="0.3">
      <c r="A49" s="17" t="s">
        <v>39</v>
      </c>
      <c r="B49" s="17" t="s">
        <v>8</v>
      </c>
      <c r="C49" s="17" t="s">
        <v>12</v>
      </c>
      <c r="D49">
        <v>25</v>
      </c>
      <c r="E49" s="18">
        <v>44694</v>
      </c>
      <c r="F49">
        <v>80700</v>
      </c>
      <c r="G49" t="s">
        <v>13</v>
      </c>
      <c r="H49" t="s">
        <v>205</v>
      </c>
    </row>
    <row r="50" spans="1:8" x14ac:dyDescent="0.3">
      <c r="A50" s="17" t="s">
        <v>100</v>
      </c>
      <c r="B50" s="17" t="s">
        <v>15</v>
      </c>
      <c r="C50" s="17" t="s">
        <v>9</v>
      </c>
      <c r="D50">
        <v>19</v>
      </c>
      <c r="E50" s="18">
        <v>44277</v>
      </c>
      <c r="F50">
        <v>58960</v>
      </c>
      <c r="G50" t="s">
        <v>16</v>
      </c>
      <c r="H50" t="s">
        <v>205</v>
      </c>
    </row>
    <row r="51" spans="1:8" x14ac:dyDescent="0.3">
      <c r="A51" s="17" t="s">
        <v>106</v>
      </c>
      <c r="B51" s="17" t="s">
        <v>15</v>
      </c>
      <c r="C51" s="17" t="s">
        <v>12</v>
      </c>
      <c r="D51">
        <v>36</v>
      </c>
      <c r="E51" s="18">
        <v>44019</v>
      </c>
      <c r="F51">
        <v>118840</v>
      </c>
      <c r="G51" t="s">
        <v>16</v>
      </c>
      <c r="H51" t="s">
        <v>205</v>
      </c>
    </row>
    <row r="52" spans="1:8" x14ac:dyDescent="0.3">
      <c r="A52" s="17" t="s">
        <v>29</v>
      </c>
      <c r="B52" s="17" t="s">
        <v>15</v>
      </c>
      <c r="C52" s="17" t="s">
        <v>21</v>
      </c>
      <c r="D52">
        <v>28</v>
      </c>
      <c r="E52" s="18">
        <v>44041</v>
      </c>
      <c r="F52">
        <v>48170</v>
      </c>
      <c r="G52" t="s">
        <v>13</v>
      </c>
      <c r="H52" t="s">
        <v>205</v>
      </c>
    </row>
    <row r="53" spans="1:8" x14ac:dyDescent="0.3">
      <c r="A53" s="17" t="s">
        <v>108</v>
      </c>
      <c r="B53" s="17" t="s">
        <v>8</v>
      </c>
      <c r="C53" s="17" t="s">
        <v>56</v>
      </c>
      <c r="D53">
        <v>32</v>
      </c>
      <c r="E53" s="18">
        <v>44400</v>
      </c>
      <c r="F53">
        <v>45510</v>
      </c>
      <c r="G53" t="s">
        <v>16</v>
      </c>
      <c r="H53" t="s">
        <v>205</v>
      </c>
    </row>
    <row r="54" spans="1:8" x14ac:dyDescent="0.3">
      <c r="A54" s="17" t="s">
        <v>64</v>
      </c>
      <c r="B54" s="17" t="s">
        <v>15</v>
      </c>
      <c r="C54" s="17" t="s">
        <v>9</v>
      </c>
      <c r="D54">
        <v>34</v>
      </c>
      <c r="E54" s="18">
        <v>44703</v>
      </c>
      <c r="F54">
        <v>112650</v>
      </c>
      <c r="G54" t="s">
        <v>16</v>
      </c>
      <c r="H54" t="s">
        <v>205</v>
      </c>
    </row>
    <row r="55" spans="1:8" x14ac:dyDescent="0.3">
      <c r="A55" s="17" t="s">
        <v>83</v>
      </c>
      <c r="B55" s="17" t="s">
        <v>8</v>
      </c>
      <c r="C55" s="17" t="s">
        <v>9</v>
      </c>
      <c r="D55">
        <v>36</v>
      </c>
      <c r="E55" s="18">
        <v>44085</v>
      </c>
      <c r="F55">
        <v>114890</v>
      </c>
      <c r="G55" t="s">
        <v>16</v>
      </c>
      <c r="H55" t="s">
        <v>205</v>
      </c>
    </row>
    <row r="56" spans="1:8" x14ac:dyDescent="0.3">
      <c r="A56" s="17" t="s">
        <v>67</v>
      </c>
      <c r="B56" s="17" t="s">
        <v>15</v>
      </c>
      <c r="C56" s="17" t="s">
        <v>12</v>
      </c>
      <c r="D56">
        <v>30</v>
      </c>
      <c r="E56" s="18">
        <v>44850</v>
      </c>
      <c r="F56">
        <v>69710</v>
      </c>
      <c r="G56" t="s">
        <v>16</v>
      </c>
      <c r="H56" t="s">
        <v>205</v>
      </c>
    </row>
    <row r="57" spans="1:8" x14ac:dyDescent="0.3">
      <c r="A57" s="17" t="s">
        <v>94</v>
      </c>
      <c r="B57" s="17" t="s">
        <v>15</v>
      </c>
      <c r="C57" s="17" t="s">
        <v>21</v>
      </c>
      <c r="D57">
        <v>36</v>
      </c>
      <c r="E57" s="18">
        <v>44333</v>
      </c>
      <c r="F57">
        <v>71380</v>
      </c>
      <c r="G57" t="s">
        <v>16</v>
      </c>
      <c r="H57" t="s">
        <v>205</v>
      </c>
    </row>
    <row r="58" spans="1:8" x14ac:dyDescent="0.3">
      <c r="A58" s="17" t="s">
        <v>33</v>
      </c>
      <c r="B58" s="17" t="s">
        <v>8</v>
      </c>
      <c r="C58" s="17" t="s">
        <v>19</v>
      </c>
      <c r="D58">
        <v>38</v>
      </c>
      <c r="E58" s="18">
        <v>44377</v>
      </c>
      <c r="F58">
        <v>109160</v>
      </c>
      <c r="G58" t="s">
        <v>10</v>
      </c>
      <c r="H58" t="s">
        <v>205</v>
      </c>
    </row>
    <row r="59" spans="1:8" x14ac:dyDescent="0.3">
      <c r="A59" s="17" t="s">
        <v>98</v>
      </c>
      <c r="B59" s="17" t="s">
        <v>15</v>
      </c>
      <c r="C59" s="17" t="s">
        <v>9</v>
      </c>
      <c r="D59">
        <v>27</v>
      </c>
      <c r="E59" s="18">
        <v>44609</v>
      </c>
      <c r="F59">
        <v>113280</v>
      </c>
      <c r="G59" t="s">
        <v>42</v>
      </c>
      <c r="H59" t="s">
        <v>205</v>
      </c>
    </row>
    <row r="60" spans="1:8" x14ac:dyDescent="0.3">
      <c r="A60" s="17" t="s">
        <v>25</v>
      </c>
      <c r="B60" s="17" t="s">
        <v>15</v>
      </c>
      <c r="C60" s="17" t="s">
        <v>12</v>
      </c>
      <c r="D60">
        <v>30</v>
      </c>
      <c r="E60" s="18">
        <v>44273</v>
      </c>
      <c r="F60">
        <v>69120</v>
      </c>
      <c r="G60" t="s">
        <v>16</v>
      </c>
      <c r="H60" t="s">
        <v>205</v>
      </c>
    </row>
    <row r="61" spans="1:8" x14ac:dyDescent="0.3">
      <c r="A61" s="17" t="s">
        <v>55</v>
      </c>
      <c r="B61" s="17" t="s">
        <v>8</v>
      </c>
      <c r="C61" s="17" t="s">
        <v>56</v>
      </c>
      <c r="D61">
        <v>37</v>
      </c>
      <c r="E61" s="18">
        <v>44451</v>
      </c>
      <c r="F61">
        <v>118100</v>
      </c>
      <c r="G61" t="s">
        <v>16</v>
      </c>
      <c r="H61" t="s">
        <v>205</v>
      </c>
    </row>
    <row r="62" spans="1:8" x14ac:dyDescent="0.3">
      <c r="A62" s="17" t="s">
        <v>62</v>
      </c>
      <c r="B62" s="17" t="s">
        <v>8</v>
      </c>
      <c r="C62" s="17" t="s">
        <v>9</v>
      </c>
      <c r="D62">
        <v>22</v>
      </c>
      <c r="E62" s="18">
        <v>44450</v>
      </c>
      <c r="F62">
        <v>76900</v>
      </c>
      <c r="G62" t="s">
        <v>13</v>
      </c>
      <c r="H62" t="s">
        <v>205</v>
      </c>
    </row>
    <row r="63" spans="1:8" x14ac:dyDescent="0.3">
      <c r="A63" s="17" t="s">
        <v>17</v>
      </c>
      <c r="B63" s="17" t="s">
        <v>8</v>
      </c>
      <c r="C63" s="17" t="s">
        <v>12</v>
      </c>
      <c r="D63">
        <v>43</v>
      </c>
      <c r="E63" s="18">
        <v>45045</v>
      </c>
      <c r="F63">
        <v>114870</v>
      </c>
      <c r="G63" t="s">
        <v>16</v>
      </c>
      <c r="H63" t="s">
        <v>205</v>
      </c>
    </row>
    <row r="64" spans="1:8" x14ac:dyDescent="0.3">
      <c r="A64" s="17" t="s">
        <v>52</v>
      </c>
      <c r="B64" s="17"/>
      <c r="C64" s="17" t="s">
        <v>12</v>
      </c>
      <c r="D64">
        <v>32</v>
      </c>
      <c r="E64" s="18">
        <v>44774</v>
      </c>
      <c r="F64">
        <v>91310</v>
      </c>
      <c r="G64" t="s">
        <v>16</v>
      </c>
      <c r="H64" t="s">
        <v>205</v>
      </c>
    </row>
    <row r="65" spans="1:8" x14ac:dyDescent="0.3">
      <c r="A65" s="17" t="s">
        <v>43</v>
      </c>
      <c r="B65" s="17" t="s">
        <v>8</v>
      </c>
      <c r="C65" s="17" t="s">
        <v>9</v>
      </c>
      <c r="D65">
        <v>28</v>
      </c>
      <c r="E65" s="18">
        <v>44486</v>
      </c>
      <c r="F65">
        <v>104770</v>
      </c>
      <c r="G65" t="s">
        <v>16</v>
      </c>
      <c r="H65" t="s">
        <v>205</v>
      </c>
    </row>
    <row r="66" spans="1:8" x14ac:dyDescent="0.3">
      <c r="A66" s="17" t="s">
        <v>89</v>
      </c>
      <c r="B66" s="17" t="s">
        <v>15</v>
      </c>
      <c r="C66" s="17" t="s">
        <v>19</v>
      </c>
      <c r="D66">
        <v>27</v>
      </c>
      <c r="E66" s="18">
        <v>44134</v>
      </c>
      <c r="F66">
        <v>54970</v>
      </c>
      <c r="G66" t="s">
        <v>16</v>
      </c>
      <c r="H66" t="s">
        <v>205</v>
      </c>
    </row>
    <row r="67" spans="1:8" x14ac:dyDescent="0.3">
      <c r="A67" s="17" t="s">
        <v>11</v>
      </c>
      <c r="B67" s="17"/>
      <c r="C67" s="17" t="s">
        <v>12</v>
      </c>
      <c r="D67">
        <v>26</v>
      </c>
      <c r="E67" s="18">
        <v>44271</v>
      </c>
      <c r="F67">
        <v>90700</v>
      </c>
      <c r="G67" t="s">
        <v>13</v>
      </c>
      <c r="H67" t="s">
        <v>205</v>
      </c>
    </row>
    <row r="68" spans="1:8" x14ac:dyDescent="0.3">
      <c r="A68" s="17" t="s">
        <v>109</v>
      </c>
      <c r="B68" s="17" t="s">
        <v>8</v>
      </c>
      <c r="C68" s="17" t="s">
        <v>19</v>
      </c>
      <c r="D68">
        <v>38</v>
      </c>
      <c r="E68" s="18">
        <v>44329</v>
      </c>
      <c r="F68">
        <v>56870</v>
      </c>
      <c r="G68" t="s">
        <v>13</v>
      </c>
      <c r="H68" t="s">
        <v>205</v>
      </c>
    </row>
    <row r="69" spans="1:8" x14ac:dyDescent="0.3">
      <c r="A69" s="17" t="s">
        <v>77</v>
      </c>
      <c r="B69" s="17" t="s">
        <v>8</v>
      </c>
      <c r="C69" s="17" t="s">
        <v>19</v>
      </c>
      <c r="D69">
        <v>25</v>
      </c>
      <c r="E69" s="18">
        <v>44205</v>
      </c>
      <c r="F69">
        <v>92700</v>
      </c>
      <c r="G69" t="s">
        <v>16</v>
      </c>
      <c r="H69" t="s">
        <v>205</v>
      </c>
    </row>
    <row r="70" spans="1:8" x14ac:dyDescent="0.3">
      <c r="A70" s="17" t="s">
        <v>32</v>
      </c>
      <c r="B70" s="17" t="s">
        <v>8</v>
      </c>
      <c r="C70" s="17" t="s">
        <v>21</v>
      </c>
      <c r="D70">
        <v>21</v>
      </c>
      <c r="E70" s="18">
        <v>44317</v>
      </c>
      <c r="F70">
        <v>65920</v>
      </c>
      <c r="G70" t="s">
        <v>16</v>
      </c>
      <c r="H70" t="s">
        <v>205</v>
      </c>
    </row>
    <row r="71" spans="1:8" x14ac:dyDescent="0.3">
      <c r="A71" s="17" t="s">
        <v>59</v>
      </c>
      <c r="B71" s="17" t="s">
        <v>15</v>
      </c>
      <c r="C71" s="17" t="s">
        <v>9</v>
      </c>
      <c r="D71">
        <v>26</v>
      </c>
      <c r="E71" s="18">
        <v>44225</v>
      </c>
      <c r="F71">
        <v>47360</v>
      </c>
      <c r="G71" t="s">
        <v>16</v>
      </c>
      <c r="H71" t="s">
        <v>205</v>
      </c>
    </row>
    <row r="72" spans="1:8" x14ac:dyDescent="0.3">
      <c r="A72" s="17" t="s">
        <v>37</v>
      </c>
      <c r="B72" s="17" t="s">
        <v>15</v>
      </c>
      <c r="C72" s="17" t="s">
        <v>9</v>
      </c>
      <c r="D72">
        <v>30</v>
      </c>
      <c r="E72" s="18">
        <v>44666</v>
      </c>
      <c r="F72">
        <v>60570</v>
      </c>
      <c r="G72" t="s">
        <v>16</v>
      </c>
      <c r="H72" t="s">
        <v>205</v>
      </c>
    </row>
    <row r="73" spans="1:8" x14ac:dyDescent="0.3">
      <c r="A73" s="17" t="s">
        <v>96</v>
      </c>
      <c r="B73" s="17" t="s">
        <v>8</v>
      </c>
      <c r="C73" s="17" t="s">
        <v>9</v>
      </c>
      <c r="D73">
        <v>28</v>
      </c>
      <c r="E73" s="18">
        <v>44649</v>
      </c>
      <c r="F73">
        <v>104120</v>
      </c>
      <c r="G73" t="s">
        <v>16</v>
      </c>
      <c r="H73" t="s">
        <v>205</v>
      </c>
    </row>
    <row r="74" spans="1:8" x14ac:dyDescent="0.3">
      <c r="A74" s="17" t="s">
        <v>23</v>
      </c>
      <c r="B74" s="17" t="s">
        <v>15</v>
      </c>
      <c r="C74" s="17" t="s">
        <v>12</v>
      </c>
      <c r="D74">
        <v>37</v>
      </c>
      <c r="E74" s="18">
        <v>44338</v>
      </c>
      <c r="F74">
        <v>88050</v>
      </c>
      <c r="G74" t="s">
        <v>24</v>
      </c>
      <c r="H74" t="s">
        <v>205</v>
      </c>
    </row>
    <row r="75" spans="1:8" x14ac:dyDescent="0.3">
      <c r="A75" s="17" t="s">
        <v>103</v>
      </c>
      <c r="B75" s="17" t="s">
        <v>15</v>
      </c>
      <c r="C75" s="17" t="s">
        <v>12</v>
      </c>
      <c r="D75">
        <v>24</v>
      </c>
      <c r="E75" s="18">
        <v>44686</v>
      </c>
      <c r="F75">
        <v>100420</v>
      </c>
      <c r="G75" t="s">
        <v>16</v>
      </c>
      <c r="H75" t="s">
        <v>205</v>
      </c>
    </row>
    <row r="76" spans="1:8" x14ac:dyDescent="0.3">
      <c r="A76" s="17" t="s">
        <v>54</v>
      </c>
      <c r="B76" s="17" t="s">
        <v>8</v>
      </c>
      <c r="C76" s="17" t="s">
        <v>9</v>
      </c>
      <c r="D76">
        <v>30</v>
      </c>
      <c r="E76" s="18">
        <v>44850</v>
      </c>
      <c r="F76">
        <v>114180</v>
      </c>
      <c r="G76" t="s">
        <v>16</v>
      </c>
      <c r="H76" t="s">
        <v>205</v>
      </c>
    </row>
    <row r="77" spans="1:8" x14ac:dyDescent="0.3">
      <c r="A77" s="17" t="s">
        <v>86</v>
      </c>
      <c r="B77" s="17" t="s">
        <v>8</v>
      </c>
      <c r="C77" s="17" t="s">
        <v>12</v>
      </c>
      <c r="D77">
        <v>21</v>
      </c>
      <c r="E77" s="18">
        <v>44678</v>
      </c>
      <c r="F77">
        <v>33920</v>
      </c>
      <c r="G77" t="s">
        <v>16</v>
      </c>
      <c r="H77" t="s">
        <v>205</v>
      </c>
    </row>
    <row r="78" spans="1:8" x14ac:dyDescent="0.3">
      <c r="A78" s="17" t="s">
        <v>69</v>
      </c>
      <c r="B78" s="17" t="s">
        <v>15</v>
      </c>
      <c r="C78" s="17" t="s">
        <v>9</v>
      </c>
      <c r="D78">
        <v>23</v>
      </c>
      <c r="E78" s="18">
        <v>44440</v>
      </c>
      <c r="F78">
        <v>106460</v>
      </c>
      <c r="G78" t="s">
        <v>16</v>
      </c>
      <c r="H78" t="s">
        <v>205</v>
      </c>
    </row>
    <row r="79" spans="1:8" x14ac:dyDescent="0.3">
      <c r="A79" s="17" t="s">
        <v>57</v>
      </c>
      <c r="B79" s="17" t="s">
        <v>15</v>
      </c>
      <c r="C79" s="17" t="s">
        <v>9</v>
      </c>
      <c r="D79">
        <v>35</v>
      </c>
      <c r="E79" s="18">
        <v>44727</v>
      </c>
      <c r="F79">
        <v>40400</v>
      </c>
      <c r="G79" t="s">
        <v>16</v>
      </c>
      <c r="H79" t="s">
        <v>205</v>
      </c>
    </row>
    <row r="80" spans="1:8" x14ac:dyDescent="0.3">
      <c r="A80" s="17" t="s">
        <v>68</v>
      </c>
      <c r="B80" s="17" t="s">
        <v>15</v>
      </c>
      <c r="C80" s="17" t="s">
        <v>21</v>
      </c>
      <c r="D80">
        <v>27</v>
      </c>
      <c r="E80" s="18">
        <v>44236</v>
      </c>
      <c r="F80">
        <v>91650</v>
      </c>
      <c r="G80" t="s">
        <v>13</v>
      </c>
      <c r="H80" t="s">
        <v>205</v>
      </c>
    </row>
    <row r="81" spans="1:8" x14ac:dyDescent="0.3">
      <c r="A81" s="17" t="s">
        <v>99</v>
      </c>
      <c r="B81" s="17" t="s">
        <v>15</v>
      </c>
      <c r="C81" s="17" t="s">
        <v>19</v>
      </c>
      <c r="D81">
        <v>43</v>
      </c>
      <c r="E81" s="18">
        <v>44620</v>
      </c>
      <c r="F81">
        <v>36040</v>
      </c>
      <c r="G81" t="s">
        <v>16</v>
      </c>
      <c r="H81" t="s">
        <v>205</v>
      </c>
    </row>
    <row r="82" spans="1:8" x14ac:dyDescent="0.3">
      <c r="A82" s="17" t="s">
        <v>101</v>
      </c>
      <c r="B82" s="17" t="s">
        <v>8</v>
      </c>
      <c r="C82" s="17" t="s">
        <v>12</v>
      </c>
      <c r="D82">
        <v>40</v>
      </c>
      <c r="E82" s="18">
        <v>44381</v>
      </c>
      <c r="F82">
        <v>104410</v>
      </c>
      <c r="G82" t="s">
        <v>16</v>
      </c>
      <c r="H82" t="s">
        <v>205</v>
      </c>
    </row>
    <row r="83" spans="1:8" x14ac:dyDescent="0.3">
      <c r="A83" s="17" t="s">
        <v>85</v>
      </c>
      <c r="B83" s="17" t="s">
        <v>15</v>
      </c>
      <c r="C83" s="17" t="s">
        <v>21</v>
      </c>
      <c r="D83">
        <v>30</v>
      </c>
      <c r="E83" s="18">
        <v>44606</v>
      </c>
      <c r="F83">
        <v>96800</v>
      </c>
      <c r="G83" t="s">
        <v>16</v>
      </c>
      <c r="H83" t="s">
        <v>205</v>
      </c>
    </row>
    <row r="84" spans="1:8" x14ac:dyDescent="0.3">
      <c r="A84" s="17" t="s">
        <v>28</v>
      </c>
      <c r="B84" s="17" t="s">
        <v>8</v>
      </c>
      <c r="C84" s="17" t="s">
        <v>21</v>
      </c>
      <c r="D84">
        <v>34</v>
      </c>
      <c r="E84" s="18">
        <v>44459</v>
      </c>
      <c r="F84">
        <v>85000</v>
      </c>
      <c r="G84" t="s">
        <v>16</v>
      </c>
      <c r="H84" t="s">
        <v>205</v>
      </c>
    </row>
    <row r="85" spans="1:8" x14ac:dyDescent="0.3">
      <c r="A85" s="17" t="s">
        <v>80</v>
      </c>
      <c r="B85" s="17" t="s">
        <v>15</v>
      </c>
      <c r="C85" s="17" t="s">
        <v>19</v>
      </c>
      <c r="D85">
        <v>28</v>
      </c>
      <c r="E85" s="18">
        <v>44820</v>
      </c>
      <c r="F85">
        <v>43510</v>
      </c>
      <c r="G85" t="s">
        <v>42</v>
      </c>
      <c r="H85" t="s">
        <v>205</v>
      </c>
    </row>
    <row r="86" spans="1:8" x14ac:dyDescent="0.3">
      <c r="A86" s="17" t="s">
        <v>79</v>
      </c>
      <c r="B86" s="17" t="s">
        <v>15</v>
      </c>
      <c r="C86" s="17" t="s">
        <v>21</v>
      </c>
      <c r="D86">
        <v>33</v>
      </c>
      <c r="E86" s="18">
        <v>44243</v>
      </c>
      <c r="F86">
        <v>59430</v>
      </c>
      <c r="G86" t="s">
        <v>16</v>
      </c>
      <c r="H86" t="s">
        <v>205</v>
      </c>
    </row>
    <row r="87" spans="1:8" x14ac:dyDescent="0.3">
      <c r="A87" s="17" t="s">
        <v>93</v>
      </c>
      <c r="B87" s="17" t="s">
        <v>8</v>
      </c>
      <c r="C87" s="17" t="s">
        <v>21</v>
      </c>
      <c r="D87">
        <v>33</v>
      </c>
      <c r="E87" s="18">
        <v>44067</v>
      </c>
      <c r="F87">
        <v>65360</v>
      </c>
      <c r="G87" t="s">
        <v>16</v>
      </c>
      <c r="H87" t="s">
        <v>205</v>
      </c>
    </row>
    <row r="88" spans="1:8" x14ac:dyDescent="0.3">
      <c r="A88" s="17" t="s">
        <v>66</v>
      </c>
      <c r="B88" s="17" t="s">
        <v>8</v>
      </c>
      <c r="C88" s="17" t="s">
        <v>9</v>
      </c>
      <c r="D88">
        <v>32</v>
      </c>
      <c r="E88" s="18">
        <v>44611</v>
      </c>
      <c r="F88">
        <v>41570</v>
      </c>
      <c r="G88" t="s">
        <v>16</v>
      </c>
      <c r="H88" t="s">
        <v>205</v>
      </c>
    </row>
    <row r="89" spans="1:8" x14ac:dyDescent="0.3">
      <c r="A89" s="17" t="s">
        <v>95</v>
      </c>
      <c r="B89" s="17" t="s">
        <v>8</v>
      </c>
      <c r="C89" s="17" t="s">
        <v>12</v>
      </c>
      <c r="D89">
        <v>33</v>
      </c>
      <c r="E89" s="18">
        <v>44312</v>
      </c>
      <c r="F89">
        <v>75280</v>
      </c>
      <c r="G89" t="s">
        <v>16</v>
      </c>
      <c r="H89" t="s">
        <v>205</v>
      </c>
    </row>
    <row r="90" spans="1:8" x14ac:dyDescent="0.3">
      <c r="A90" s="17" t="s">
        <v>18</v>
      </c>
      <c r="B90" s="17" t="s">
        <v>15</v>
      </c>
      <c r="C90" s="17" t="s">
        <v>19</v>
      </c>
      <c r="D90">
        <v>33</v>
      </c>
      <c r="E90" s="18">
        <v>44385</v>
      </c>
      <c r="F90">
        <v>74550</v>
      </c>
      <c r="G90" t="s">
        <v>16</v>
      </c>
      <c r="H90" t="s">
        <v>205</v>
      </c>
    </row>
    <row r="91" spans="1:8" x14ac:dyDescent="0.3">
      <c r="A91" s="17" t="s">
        <v>45</v>
      </c>
      <c r="B91" s="17" t="s">
        <v>15</v>
      </c>
      <c r="C91" s="17" t="s">
        <v>9</v>
      </c>
      <c r="D91">
        <v>30</v>
      </c>
      <c r="E91" s="18">
        <v>44701</v>
      </c>
      <c r="F91">
        <v>67950</v>
      </c>
      <c r="G91" t="s">
        <v>16</v>
      </c>
      <c r="H91" t="s">
        <v>205</v>
      </c>
    </row>
    <row r="92" spans="1:8" x14ac:dyDescent="0.3">
      <c r="A92" s="17" t="s">
        <v>90</v>
      </c>
      <c r="B92" s="17" t="s">
        <v>15</v>
      </c>
      <c r="C92" s="17" t="s">
        <v>21</v>
      </c>
      <c r="D92">
        <v>42</v>
      </c>
      <c r="E92" s="18">
        <v>44731</v>
      </c>
      <c r="F92">
        <v>70270</v>
      </c>
      <c r="G92" t="s">
        <v>24</v>
      </c>
      <c r="H92" t="s">
        <v>205</v>
      </c>
    </row>
    <row r="93" spans="1:8" x14ac:dyDescent="0.3">
      <c r="A93" s="17" t="s">
        <v>46</v>
      </c>
      <c r="B93" s="17" t="s">
        <v>15</v>
      </c>
      <c r="C93" s="17" t="s">
        <v>9</v>
      </c>
      <c r="D93">
        <v>26</v>
      </c>
      <c r="E93" s="18">
        <v>44411</v>
      </c>
      <c r="F93">
        <v>53540</v>
      </c>
      <c r="G93" t="s">
        <v>16</v>
      </c>
      <c r="H93" t="s">
        <v>205</v>
      </c>
    </row>
    <row r="94" spans="1:8" x14ac:dyDescent="0.3">
      <c r="A94" s="17" t="s">
        <v>58</v>
      </c>
      <c r="B94" s="17" t="s">
        <v>15</v>
      </c>
      <c r="C94" s="17" t="s">
        <v>19</v>
      </c>
      <c r="D94">
        <v>22</v>
      </c>
      <c r="E94" s="18">
        <v>44446</v>
      </c>
      <c r="F94">
        <v>112780</v>
      </c>
      <c r="G94" t="s">
        <v>13</v>
      </c>
      <c r="H94" t="s">
        <v>205</v>
      </c>
    </row>
    <row r="95" spans="1:8" x14ac:dyDescent="0.3">
      <c r="A95" s="17" t="s">
        <v>70</v>
      </c>
      <c r="B95" s="17" t="s">
        <v>15</v>
      </c>
      <c r="C95" s="17" t="s">
        <v>9</v>
      </c>
      <c r="D95">
        <v>46</v>
      </c>
      <c r="E95" s="18">
        <v>44758</v>
      </c>
      <c r="F95">
        <v>70610</v>
      </c>
      <c r="G95" t="s">
        <v>16</v>
      </c>
      <c r="H95" t="s">
        <v>205</v>
      </c>
    </row>
    <row r="96" spans="1:8" x14ac:dyDescent="0.3">
      <c r="A96" s="17" t="s">
        <v>75</v>
      </c>
      <c r="B96" s="17" t="s">
        <v>8</v>
      </c>
      <c r="C96" s="17" t="s">
        <v>19</v>
      </c>
      <c r="D96">
        <v>28</v>
      </c>
      <c r="E96" s="18">
        <v>44357</v>
      </c>
      <c r="F96">
        <v>53240</v>
      </c>
      <c r="G96" t="s">
        <v>16</v>
      </c>
      <c r="H96" t="s">
        <v>205</v>
      </c>
    </row>
    <row r="97" spans="1:8" x14ac:dyDescent="0.3">
      <c r="A97" s="17" t="s">
        <v>49</v>
      </c>
      <c r="B97" s="17"/>
      <c r="C97" s="17" t="s">
        <v>21</v>
      </c>
      <c r="D97">
        <v>37</v>
      </c>
      <c r="E97" s="18">
        <v>44146</v>
      </c>
      <c r="F97">
        <v>115440</v>
      </c>
      <c r="G97" t="s">
        <v>24</v>
      </c>
      <c r="H97" t="s">
        <v>205</v>
      </c>
    </row>
    <row r="98" spans="1:8" x14ac:dyDescent="0.3">
      <c r="A98" s="17" t="s">
        <v>65</v>
      </c>
      <c r="B98" s="17" t="s">
        <v>15</v>
      </c>
      <c r="C98" s="17" t="s">
        <v>19</v>
      </c>
      <c r="D98">
        <v>32</v>
      </c>
      <c r="E98" s="18">
        <v>44465</v>
      </c>
      <c r="F98">
        <v>53540</v>
      </c>
      <c r="G98" t="s">
        <v>16</v>
      </c>
      <c r="H98" t="s">
        <v>205</v>
      </c>
    </row>
    <row r="99" spans="1:8" x14ac:dyDescent="0.3">
      <c r="A99" s="17" t="s">
        <v>81</v>
      </c>
      <c r="B99" s="17" t="s">
        <v>8</v>
      </c>
      <c r="C99" s="17" t="s">
        <v>9</v>
      </c>
      <c r="D99">
        <v>30</v>
      </c>
      <c r="E99" s="18">
        <v>44861</v>
      </c>
      <c r="F99">
        <v>112570</v>
      </c>
      <c r="G99" t="s">
        <v>16</v>
      </c>
      <c r="H99" t="s">
        <v>205</v>
      </c>
    </row>
    <row r="100" spans="1:8" x14ac:dyDescent="0.3">
      <c r="A100" s="17" t="s">
        <v>51</v>
      </c>
      <c r="B100" s="17" t="s">
        <v>15</v>
      </c>
      <c r="C100" s="17" t="s">
        <v>9</v>
      </c>
      <c r="D100">
        <v>33</v>
      </c>
      <c r="E100" s="18">
        <v>44701</v>
      </c>
      <c r="F100">
        <v>48530</v>
      </c>
      <c r="G100" t="s">
        <v>13</v>
      </c>
      <c r="H100" t="s">
        <v>205</v>
      </c>
    </row>
    <row r="101" spans="1:8" x14ac:dyDescent="0.3">
      <c r="A101" s="17" t="s">
        <v>61</v>
      </c>
      <c r="B101" s="17" t="s">
        <v>8</v>
      </c>
      <c r="C101" s="17" t="s">
        <v>12</v>
      </c>
      <c r="D101">
        <v>24</v>
      </c>
      <c r="E101" s="18">
        <v>44148</v>
      </c>
      <c r="F101">
        <v>62780</v>
      </c>
      <c r="G101" t="s">
        <v>16</v>
      </c>
      <c r="H101" t="s">
        <v>205</v>
      </c>
    </row>
    <row r="102" spans="1:8" x14ac:dyDescent="0.3">
      <c r="A102" s="17" t="s">
        <v>203</v>
      </c>
      <c r="B102" s="17"/>
      <c r="C102" s="17"/>
      <c r="D102">
        <v>30.52</v>
      </c>
      <c r="E102" s="18"/>
      <c r="F102">
        <v>77472.100000000006</v>
      </c>
      <c r="G102">
        <v>100</v>
      </c>
      <c r="H102" t="s">
        <v>205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06"/>
  <sheetViews>
    <sheetView showGridLines="0" topLeftCell="A49" workbookViewId="0">
      <selection activeCell="D62" sqref="D62"/>
    </sheetView>
  </sheetViews>
  <sheetFormatPr defaultRowHeight="14.4" x14ac:dyDescent="0.3"/>
  <cols>
    <col min="1" max="1" width="1.6640625" customWidth="1"/>
    <col min="2" max="2" width="3.6640625" customWidth="1"/>
    <col min="3" max="3" width="19.6640625" bestFit="1" customWidth="1"/>
    <col min="4" max="4" width="9" customWidth="1"/>
    <col min="5" max="5" width="13" customWidth="1"/>
    <col min="6" max="6" width="6.109375" customWidth="1"/>
    <col min="7" max="7" width="12.6640625" customWidth="1"/>
    <col min="8" max="8" width="11.5546875" bestFit="1" customWidth="1"/>
    <col min="9" max="9" width="13.109375" bestFit="1" customWidth="1"/>
  </cols>
  <sheetData>
    <row r="1" spans="1:9" s="2" customFormat="1" ht="52.5" customHeight="1" x14ac:dyDescent="0.3">
      <c r="A1" s="1"/>
      <c r="C1" s="3" t="s">
        <v>110</v>
      </c>
    </row>
    <row r="5" spans="1:9" x14ac:dyDescent="0.3">
      <c r="C5" t="s">
        <v>0</v>
      </c>
      <c r="D5" t="s">
        <v>1</v>
      </c>
      <c r="E5" t="s">
        <v>2</v>
      </c>
      <c r="F5" t="s">
        <v>3</v>
      </c>
      <c r="G5" s="4" t="s">
        <v>4</v>
      </c>
      <c r="H5" s="16" t="s">
        <v>5</v>
      </c>
      <c r="I5" t="s">
        <v>6</v>
      </c>
    </row>
    <row r="6" spans="1:9" x14ac:dyDescent="0.3">
      <c r="C6" t="s">
        <v>58</v>
      </c>
      <c r="D6" t="s">
        <v>15</v>
      </c>
      <c r="E6" t="s">
        <v>19</v>
      </c>
      <c r="F6">
        <v>22</v>
      </c>
      <c r="G6" s="4">
        <v>44446</v>
      </c>
      <c r="H6" s="16">
        <v>112780</v>
      </c>
      <c r="I6" t="s">
        <v>13</v>
      </c>
    </row>
    <row r="7" spans="1:9" x14ac:dyDescent="0.3">
      <c r="C7" t="s">
        <v>70</v>
      </c>
      <c r="D7" t="s">
        <v>15</v>
      </c>
      <c r="E7" t="s">
        <v>9</v>
      </c>
      <c r="F7">
        <v>46</v>
      </c>
      <c r="G7" s="4">
        <v>44758</v>
      </c>
      <c r="H7" s="16">
        <v>70610</v>
      </c>
      <c r="I7" t="s">
        <v>16</v>
      </c>
    </row>
    <row r="8" spans="1:9" x14ac:dyDescent="0.3">
      <c r="C8" t="s">
        <v>75</v>
      </c>
      <c r="D8" t="s">
        <v>8</v>
      </c>
      <c r="E8" t="s">
        <v>19</v>
      </c>
      <c r="F8">
        <v>28</v>
      </c>
      <c r="G8" s="4">
        <v>44357</v>
      </c>
      <c r="H8" s="16">
        <v>53240</v>
      </c>
      <c r="I8" t="s">
        <v>16</v>
      </c>
    </row>
    <row r="9" spans="1:9" x14ac:dyDescent="0.3">
      <c r="C9" t="s">
        <v>49</v>
      </c>
      <c r="E9" t="s">
        <v>21</v>
      </c>
      <c r="F9">
        <v>37</v>
      </c>
      <c r="G9" s="4">
        <v>44146</v>
      </c>
      <c r="H9" s="16">
        <v>115440</v>
      </c>
      <c r="I9" t="s">
        <v>24</v>
      </c>
    </row>
    <row r="10" spans="1:9" x14ac:dyDescent="0.3">
      <c r="C10" t="s">
        <v>65</v>
      </c>
      <c r="D10" t="s">
        <v>15</v>
      </c>
      <c r="E10" t="s">
        <v>19</v>
      </c>
      <c r="F10">
        <v>32</v>
      </c>
      <c r="G10" s="4">
        <v>44465</v>
      </c>
      <c r="H10" s="16">
        <v>53540</v>
      </c>
      <c r="I10" t="s">
        <v>16</v>
      </c>
    </row>
    <row r="11" spans="1:9" x14ac:dyDescent="0.3">
      <c r="C11" t="s">
        <v>81</v>
      </c>
      <c r="D11" t="s">
        <v>8</v>
      </c>
      <c r="E11" t="s">
        <v>9</v>
      </c>
      <c r="F11">
        <v>30</v>
      </c>
      <c r="G11" s="4">
        <v>44861</v>
      </c>
      <c r="H11" s="16">
        <v>112570</v>
      </c>
      <c r="I11" t="s">
        <v>16</v>
      </c>
    </row>
    <row r="12" spans="1:9" x14ac:dyDescent="0.3">
      <c r="C12" t="s">
        <v>51</v>
      </c>
      <c r="D12" t="s">
        <v>15</v>
      </c>
      <c r="E12" t="s">
        <v>9</v>
      </c>
      <c r="F12">
        <v>33</v>
      </c>
      <c r="G12" s="4">
        <v>44701</v>
      </c>
      <c r="H12" s="16">
        <v>48530</v>
      </c>
      <c r="I12" t="s">
        <v>13</v>
      </c>
    </row>
    <row r="13" spans="1:9" x14ac:dyDescent="0.3">
      <c r="C13" t="s">
        <v>61</v>
      </c>
      <c r="D13" t="s">
        <v>8</v>
      </c>
      <c r="E13" t="s">
        <v>12</v>
      </c>
      <c r="F13">
        <v>24</v>
      </c>
      <c r="G13" s="4">
        <v>44148</v>
      </c>
      <c r="H13" s="16">
        <v>62780</v>
      </c>
      <c r="I13" t="s">
        <v>16</v>
      </c>
    </row>
    <row r="14" spans="1:9" x14ac:dyDescent="0.3">
      <c r="C14" t="s">
        <v>82</v>
      </c>
      <c r="D14" t="s">
        <v>15</v>
      </c>
      <c r="E14" t="s">
        <v>12</v>
      </c>
      <c r="F14">
        <v>33</v>
      </c>
      <c r="G14" s="4">
        <v>44509</v>
      </c>
      <c r="H14" s="16">
        <v>53870</v>
      </c>
      <c r="I14" t="s">
        <v>16</v>
      </c>
    </row>
    <row r="15" spans="1:9" x14ac:dyDescent="0.3">
      <c r="C15" t="s">
        <v>60</v>
      </c>
      <c r="D15" t="s">
        <v>8</v>
      </c>
      <c r="E15" t="s">
        <v>56</v>
      </c>
      <c r="F15">
        <v>27</v>
      </c>
      <c r="G15" s="4">
        <v>44122</v>
      </c>
      <c r="H15" s="16">
        <v>119110</v>
      </c>
      <c r="I15" t="s">
        <v>16</v>
      </c>
    </row>
    <row r="16" spans="1:9" x14ac:dyDescent="0.3">
      <c r="C16" t="s">
        <v>87</v>
      </c>
      <c r="D16" t="s">
        <v>15</v>
      </c>
      <c r="E16" t="s">
        <v>12</v>
      </c>
      <c r="F16">
        <v>29</v>
      </c>
      <c r="G16" s="4">
        <v>44180</v>
      </c>
      <c r="H16" s="16">
        <v>112110</v>
      </c>
      <c r="I16" t="s">
        <v>24</v>
      </c>
    </row>
    <row r="17" spans="3:9" x14ac:dyDescent="0.3">
      <c r="C17" t="s">
        <v>76</v>
      </c>
      <c r="D17" t="s">
        <v>15</v>
      </c>
      <c r="E17" t="s">
        <v>19</v>
      </c>
      <c r="F17">
        <v>25</v>
      </c>
      <c r="G17" s="4">
        <v>44383</v>
      </c>
      <c r="H17" s="16">
        <v>65700</v>
      </c>
      <c r="I17" t="s">
        <v>16</v>
      </c>
    </row>
    <row r="18" spans="3:9" x14ac:dyDescent="0.3">
      <c r="C18" t="s">
        <v>97</v>
      </c>
      <c r="D18" t="s">
        <v>15</v>
      </c>
      <c r="E18" t="s">
        <v>12</v>
      </c>
      <c r="F18">
        <v>37</v>
      </c>
      <c r="G18" s="4">
        <v>44701</v>
      </c>
      <c r="H18" s="16">
        <v>69070</v>
      </c>
      <c r="I18" t="s">
        <v>16</v>
      </c>
    </row>
    <row r="19" spans="3:9" x14ac:dyDescent="0.3">
      <c r="C19" t="s">
        <v>22</v>
      </c>
      <c r="D19" t="s">
        <v>15</v>
      </c>
      <c r="E19" t="s">
        <v>12</v>
      </c>
      <c r="F19">
        <v>20</v>
      </c>
      <c r="G19" s="4">
        <v>44459</v>
      </c>
      <c r="H19" s="16">
        <v>107700</v>
      </c>
      <c r="I19" t="s">
        <v>16</v>
      </c>
    </row>
    <row r="20" spans="3:9" x14ac:dyDescent="0.3">
      <c r="C20" t="s">
        <v>84</v>
      </c>
      <c r="D20" t="s">
        <v>8</v>
      </c>
      <c r="E20" t="s">
        <v>12</v>
      </c>
      <c r="F20">
        <v>32</v>
      </c>
      <c r="G20" s="4">
        <v>44354</v>
      </c>
      <c r="H20" s="16">
        <v>43840</v>
      </c>
      <c r="I20" t="s">
        <v>13</v>
      </c>
    </row>
    <row r="21" spans="3:9" x14ac:dyDescent="0.3">
      <c r="C21" t="s">
        <v>105</v>
      </c>
      <c r="D21" t="s">
        <v>15</v>
      </c>
      <c r="E21" t="s">
        <v>9</v>
      </c>
      <c r="F21">
        <v>40</v>
      </c>
      <c r="G21" s="4">
        <v>44263</v>
      </c>
      <c r="H21" s="16">
        <v>99750</v>
      </c>
      <c r="I21" t="s">
        <v>16</v>
      </c>
    </row>
    <row r="22" spans="3:9" x14ac:dyDescent="0.3">
      <c r="C22" t="s">
        <v>47</v>
      </c>
      <c r="D22" t="s">
        <v>15</v>
      </c>
      <c r="E22" t="s">
        <v>9</v>
      </c>
      <c r="F22">
        <v>21</v>
      </c>
      <c r="G22" s="4">
        <v>44104</v>
      </c>
      <c r="H22" s="16">
        <v>37920</v>
      </c>
      <c r="I22" t="s">
        <v>16</v>
      </c>
    </row>
    <row r="23" spans="3:9" x14ac:dyDescent="0.3">
      <c r="C23" t="s">
        <v>31</v>
      </c>
      <c r="D23" t="s">
        <v>15</v>
      </c>
      <c r="E23" t="s">
        <v>9</v>
      </c>
      <c r="F23">
        <v>21</v>
      </c>
      <c r="G23" s="4">
        <v>44762</v>
      </c>
      <c r="H23" s="16">
        <v>57090</v>
      </c>
      <c r="I23" t="s">
        <v>16</v>
      </c>
    </row>
    <row r="24" spans="3:9" x14ac:dyDescent="0.3">
      <c r="C24" t="s">
        <v>30</v>
      </c>
      <c r="D24" t="s">
        <v>8</v>
      </c>
      <c r="E24" t="s">
        <v>12</v>
      </c>
      <c r="F24">
        <v>31</v>
      </c>
      <c r="G24" s="4">
        <v>44145</v>
      </c>
      <c r="H24" s="16">
        <v>41980</v>
      </c>
      <c r="I24" t="s">
        <v>16</v>
      </c>
    </row>
    <row r="25" spans="3:9" x14ac:dyDescent="0.3">
      <c r="C25" t="s">
        <v>78</v>
      </c>
      <c r="D25" t="s">
        <v>15</v>
      </c>
      <c r="E25" t="s">
        <v>56</v>
      </c>
      <c r="F25">
        <v>21</v>
      </c>
      <c r="G25" s="4">
        <v>44242</v>
      </c>
      <c r="H25" s="16">
        <v>75880</v>
      </c>
      <c r="I25" t="s">
        <v>16</v>
      </c>
    </row>
    <row r="26" spans="3:9" x14ac:dyDescent="0.3">
      <c r="C26" t="s">
        <v>36</v>
      </c>
      <c r="D26" t="s">
        <v>8</v>
      </c>
      <c r="E26" t="s">
        <v>21</v>
      </c>
      <c r="F26">
        <v>34</v>
      </c>
      <c r="G26" s="4">
        <v>44653</v>
      </c>
      <c r="H26" s="16">
        <v>58940</v>
      </c>
      <c r="I26" t="s">
        <v>16</v>
      </c>
    </row>
    <row r="27" spans="3:9" x14ac:dyDescent="0.3">
      <c r="C27" t="s">
        <v>27</v>
      </c>
      <c r="D27" t="s">
        <v>8</v>
      </c>
      <c r="E27" t="s">
        <v>21</v>
      </c>
      <c r="F27">
        <v>30</v>
      </c>
      <c r="G27" s="4">
        <v>44389</v>
      </c>
      <c r="H27" s="16">
        <v>67910</v>
      </c>
      <c r="I27" t="s">
        <v>24</v>
      </c>
    </row>
    <row r="28" spans="3:9" x14ac:dyDescent="0.3">
      <c r="C28" t="s">
        <v>26</v>
      </c>
      <c r="D28" t="s">
        <v>8</v>
      </c>
      <c r="E28" t="s">
        <v>12</v>
      </c>
      <c r="F28">
        <v>31</v>
      </c>
      <c r="G28" s="4">
        <v>44663</v>
      </c>
      <c r="H28" s="16">
        <v>58100</v>
      </c>
      <c r="I28" t="s">
        <v>16</v>
      </c>
    </row>
    <row r="29" spans="3:9" x14ac:dyDescent="0.3">
      <c r="C29" t="s">
        <v>53</v>
      </c>
      <c r="D29" t="s">
        <v>15</v>
      </c>
      <c r="E29" t="s">
        <v>21</v>
      </c>
      <c r="F29">
        <v>27</v>
      </c>
      <c r="G29" s="4">
        <v>44567</v>
      </c>
      <c r="H29" s="16">
        <v>48980</v>
      </c>
      <c r="I29" t="s">
        <v>16</v>
      </c>
    </row>
    <row r="30" spans="3:9" x14ac:dyDescent="0.3">
      <c r="C30" t="s">
        <v>20</v>
      </c>
      <c r="E30" t="s">
        <v>21</v>
      </c>
      <c r="F30">
        <v>30</v>
      </c>
      <c r="G30" s="4">
        <v>44597</v>
      </c>
      <c r="H30" s="16">
        <v>64000</v>
      </c>
      <c r="I30" t="s">
        <v>16</v>
      </c>
    </row>
    <row r="31" spans="3:9" x14ac:dyDescent="0.3">
      <c r="C31" t="s">
        <v>7</v>
      </c>
      <c r="D31" t="s">
        <v>8</v>
      </c>
      <c r="E31" t="s">
        <v>9</v>
      </c>
      <c r="F31">
        <v>42</v>
      </c>
      <c r="G31" s="4">
        <v>44779</v>
      </c>
      <c r="H31" s="16">
        <v>75000</v>
      </c>
      <c r="I31" t="s">
        <v>10</v>
      </c>
    </row>
    <row r="32" spans="3:9" x14ac:dyDescent="0.3">
      <c r="C32" t="s">
        <v>74</v>
      </c>
      <c r="D32" t="s">
        <v>8</v>
      </c>
      <c r="E32" t="s">
        <v>12</v>
      </c>
      <c r="F32">
        <v>40</v>
      </c>
      <c r="G32" s="4">
        <v>44337</v>
      </c>
      <c r="H32" s="16">
        <v>87620</v>
      </c>
      <c r="I32" t="s">
        <v>16</v>
      </c>
    </row>
    <row r="33" spans="3:9" x14ac:dyDescent="0.3">
      <c r="C33" t="s">
        <v>44</v>
      </c>
      <c r="D33" t="s">
        <v>8</v>
      </c>
      <c r="E33" t="s">
        <v>12</v>
      </c>
      <c r="F33">
        <v>29</v>
      </c>
      <c r="G33" s="4">
        <v>44023</v>
      </c>
      <c r="H33" s="16">
        <v>34980</v>
      </c>
      <c r="I33" t="s">
        <v>16</v>
      </c>
    </row>
    <row r="34" spans="3:9" x14ac:dyDescent="0.3">
      <c r="C34" t="s">
        <v>35</v>
      </c>
      <c r="D34" t="s">
        <v>8</v>
      </c>
      <c r="E34" t="s">
        <v>21</v>
      </c>
      <c r="F34">
        <v>28</v>
      </c>
      <c r="G34" s="4">
        <v>44185</v>
      </c>
      <c r="H34" s="16">
        <v>75970</v>
      </c>
      <c r="I34" t="s">
        <v>16</v>
      </c>
    </row>
    <row r="35" spans="3:9" x14ac:dyDescent="0.3">
      <c r="C35" t="s">
        <v>38</v>
      </c>
      <c r="D35" t="s">
        <v>8</v>
      </c>
      <c r="E35" t="s">
        <v>21</v>
      </c>
      <c r="F35">
        <v>34</v>
      </c>
      <c r="G35" s="4">
        <v>44612</v>
      </c>
      <c r="H35" s="16">
        <v>60130</v>
      </c>
      <c r="I35" t="s">
        <v>16</v>
      </c>
    </row>
    <row r="36" spans="3:9" x14ac:dyDescent="0.3">
      <c r="C36" t="s">
        <v>41</v>
      </c>
      <c r="D36" t="s">
        <v>8</v>
      </c>
      <c r="E36" t="s">
        <v>12</v>
      </c>
      <c r="F36">
        <v>33</v>
      </c>
      <c r="G36" s="4">
        <v>44374</v>
      </c>
      <c r="H36" s="16">
        <v>75480</v>
      </c>
      <c r="I36" t="s">
        <v>42</v>
      </c>
    </row>
    <row r="37" spans="3:9" x14ac:dyDescent="0.3">
      <c r="C37" t="s">
        <v>40</v>
      </c>
      <c r="D37" t="s">
        <v>15</v>
      </c>
      <c r="E37" t="s">
        <v>9</v>
      </c>
      <c r="F37">
        <v>33</v>
      </c>
      <c r="G37" s="4">
        <v>44164</v>
      </c>
      <c r="H37" s="16">
        <v>115920</v>
      </c>
      <c r="I37" t="s">
        <v>16</v>
      </c>
    </row>
    <row r="38" spans="3:9" x14ac:dyDescent="0.3">
      <c r="C38" t="s">
        <v>48</v>
      </c>
      <c r="D38" t="s">
        <v>8</v>
      </c>
      <c r="E38" t="s">
        <v>19</v>
      </c>
      <c r="F38">
        <v>36</v>
      </c>
      <c r="G38" s="4">
        <v>44494</v>
      </c>
      <c r="H38" s="16">
        <v>78540</v>
      </c>
      <c r="I38" t="s">
        <v>16</v>
      </c>
    </row>
    <row r="39" spans="3:9" x14ac:dyDescent="0.3">
      <c r="C39" t="s">
        <v>34</v>
      </c>
      <c r="D39" t="s">
        <v>15</v>
      </c>
      <c r="E39" t="s">
        <v>9</v>
      </c>
      <c r="F39">
        <v>25</v>
      </c>
      <c r="G39" s="4">
        <v>44726</v>
      </c>
      <c r="H39" s="16">
        <v>109190</v>
      </c>
      <c r="I39" t="s">
        <v>13</v>
      </c>
    </row>
    <row r="40" spans="3:9" x14ac:dyDescent="0.3">
      <c r="C40" t="s">
        <v>73</v>
      </c>
      <c r="D40" t="s">
        <v>8</v>
      </c>
      <c r="E40" t="s">
        <v>19</v>
      </c>
      <c r="F40">
        <v>34</v>
      </c>
      <c r="G40" s="4">
        <v>44721</v>
      </c>
      <c r="H40" s="16">
        <v>49630</v>
      </c>
      <c r="I40" t="s">
        <v>24</v>
      </c>
    </row>
    <row r="41" spans="3:9" x14ac:dyDescent="0.3">
      <c r="C41" t="s">
        <v>107</v>
      </c>
      <c r="D41" t="s">
        <v>8</v>
      </c>
      <c r="E41" t="s">
        <v>9</v>
      </c>
      <c r="F41">
        <v>28</v>
      </c>
      <c r="G41" s="4">
        <v>44630</v>
      </c>
      <c r="H41" s="16">
        <v>99970</v>
      </c>
      <c r="I41" t="s">
        <v>16</v>
      </c>
    </row>
    <row r="42" spans="3:9" x14ac:dyDescent="0.3">
      <c r="C42" t="s">
        <v>71</v>
      </c>
      <c r="D42" t="s">
        <v>8</v>
      </c>
      <c r="E42" t="s">
        <v>12</v>
      </c>
      <c r="F42">
        <v>33</v>
      </c>
      <c r="G42" s="4">
        <v>44190</v>
      </c>
      <c r="H42" s="16">
        <v>96140</v>
      </c>
      <c r="I42" t="s">
        <v>16</v>
      </c>
    </row>
    <row r="43" spans="3:9" x14ac:dyDescent="0.3">
      <c r="C43" t="s">
        <v>50</v>
      </c>
      <c r="D43" t="s">
        <v>15</v>
      </c>
      <c r="E43" t="s">
        <v>9</v>
      </c>
      <c r="F43">
        <v>31</v>
      </c>
      <c r="G43" s="4">
        <v>44724</v>
      </c>
      <c r="H43" s="16">
        <v>103550</v>
      </c>
      <c r="I43" t="s">
        <v>16</v>
      </c>
    </row>
    <row r="44" spans="3:9" x14ac:dyDescent="0.3">
      <c r="C44" t="s">
        <v>14</v>
      </c>
      <c r="D44" t="s">
        <v>15</v>
      </c>
      <c r="E44" t="s">
        <v>12</v>
      </c>
      <c r="F44">
        <v>31</v>
      </c>
      <c r="G44" s="4">
        <v>44511</v>
      </c>
      <c r="H44" s="16">
        <v>48950</v>
      </c>
      <c r="I44" t="s">
        <v>16</v>
      </c>
    </row>
    <row r="45" spans="3:9" x14ac:dyDescent="0.3">
      <c r="C45" t="s">
        <v>63</v>
      </c>
      <c r="D45" t="s">
        <v>15</v>
      </c>
      <c r="E45" t="s">
        <v>21</v>
      </c>
      <c r="F45">
        <v>24</v>
      </c>
      <c r="G45" s="4">
        <v>44436</v>
      </c>
      <c r="H45" s="16">
        <v>52610</v>
      </c>
      <c r="I45" t="s">
        <v>24</v>
      </c>
    </row>
    <row r="46" spans="3:9" x14ac:dyDescent="0.3">
      <c r="C46" t="s">
        <v>72</v>
      </c>
      <c r="D46" t="s">
        <v>8</v>
      </c>
      <c r="E46" t="s">
        <v>9</v>
      </c>
      <c r="F46">
        <v>36</v>
      </c>
      <c r="G46" s="4">
        <v>44529</v>
      </c>
      <c r="H46" s="16">
        <v>78390</v>
      </c>
      <c r="I46" t="s">
        <v>16</v>
      </c>
    </row>
    <row r="47" spans="3:9" x14ac:dyDescent="0.3">
      <c r="C47" t="s">
        <v>88</v>
      </c>
      <c r="D47" t="s">
        <v>8</v>
      </c>
      <c r="E47" t="s">
        <v>21</v>
      </c>
      <c r="F47">
        <v>33</v>
      </c>
      <c r="G47" s="4">
        <v>44809</v>
      </c>
      <c r="H47" s="16">
        <v>86570</v>
      </c>
      <c r="I47" t="s">
        <v>16</v>
      </c>
    </row>
    <row r="48" spans="3:9" x14ac:dyDescent="0.3">
      <c r="C48" t="s">
        <v>92</v>
      </c>
      <c r="D48" t="s">
        <v>8</v>
      </c>
      <c r="E48" t="s">
        <v>12</v>
      </c>
      <c r="F48">
        <v>27</v>
      </c>
      <c r="G48" s="4">
        <v>44686</v>
      </c>
      <c r="H48" s="16">
        <v>83750</v>
      </c>
      <c r="I48" t="s">
        <v>16</v>
      </c>
    </row>
    <row r="49" spans="3:9" x14ac:dyDescent="0.3">
      <c r="C49" t="s">
        <v>102</v>
      </c>
      <c r="D49" t="s">
        <v>8</v>
      </c>
      <c r="E49" t="s">
        <v>21</v>
      </c>
      <c r="F49">
        <v>34</v>
      </c>
      <c r="G49" s="4">
        <v>44445</v>
      </c>
      <c r="H49" s="16">
        <v>92450</v>
      </c>
      <c r="I49" t="s">
        <v>16</v>
      </c>
    </row>
    <row r="50" spans="3:9" x14ac:dyDescent="0.3">
      <c r="C50" t="s">
        <v>64</v>
      </c>
      <c r="D50" t="s">
        <v>15</v>
      </c>
      <c r="E50" t="s">
        <v>12</v>
      </c>
      <c r="F50">
        <v>20</v>
      </c>
      <c r="G50" s="4">
        <v>44183</v>
      </c>
      <c r="H50" s="16">
        <v>112650</v>
      </c>
      <c r="I50" t="s">
        <v>16</v>
      </c>
    </row>
    <row r="51" spans="3:9" x14ac:dyDescent="0.3">
      <c r="C51" t="s">
        <v>104</v>
      </c>
      <c r="D51" t="s">
        <v>15</v>
      </c>
      <c r="E51" t="s">
        <v>9</v>
      </c>
      <c r="F51">
        <v>20</v>
      </c>
      <c r="G51" s="4">
        <v>44744</v>
      </c>
      <c r="H51" s="16">
        <v>79570</v>
      </c>
      <c r="I51" t="s">
        <v>16</v>
      </c>
    </row>
    <row r="52" spans="3:9" x14ac:dyDescent="0.3">
      <c r="C52" t="s">
        <v>91</v>
      </c>
      <c r="D52" t="s">
        <v>8</v>
      </c>
      <c r="E52" t="s">
        <v>19</v>
      </c>
      <c r="F52">
        <v>20</v>
      </c>
      <c r="G52" s="4">
        <v>44537</v>
      </c>
      <c r="H52" s="16">
        <v>68900</v>
      </c>
      <c r="I52" t="s">
        <v>24</v>
      </c>
    </row>
    <row r="53" spans="3:9" x14ac:dyDescent="0.3">
      <c r="C53" t="s">
        <v>39</v>
      </c>
      <c r="D53" t="s">
        <v>8</v>
      </c>
      <c r="E53" t="s">
        <v>12</v>
      </c>
      <c r="F53">
        <v>25</v>
      </c>
      <c r="G53" s="4">
        <v>44694</v>
      </c>
      <c r="H53" s="16">
        <v>80700</v>
      </c>
      <c r="I53" t="s">
        <v>13</v>
      </c>
    </row>
    <row r="54" spans="3:9" x14ac:dyDescent="0.3">
      <c r="C54" t="s">
        <v>100</v>
      </c>
      <c r="D54" t="s">
        <v>15</v>
      </c>
      <c r="E54" t="s">
        <v>9</v>
      </c>
      <c r="F54">
        <v>19</v>
      </c>
      <c r="G54" s="4">
        <v>44277</v>
      </c>
      <c r="H54" s="16">
        <v>58960</v>
      </c>
      <c r="I54" t="s">
        <v>16</v>
      </c>
    </row>
    <row r="55" spans="3:9" x14ac:dyDescent="0.3">
      <c r="C55" t="s">
        <v>106</v>
      </c>
      <c r="D55" t="s">
        <v>15</v>
      </c>
      <c r="E55" t="s">
        <v>12</v>
      </c>
      <c r="F55">
        <v>36</v>
      </c>
      <c r="G55" s="4">
        <v>44019</v>
      </c>
      <c r="H55" s="16">
        <v>118840</v>
      </c>
      <c r="I55" t="s">
        <v>16</v>
      </c>
    </row>
    <row r="56" spans="3:9" x14ac:dyDescent="0.3">
      <c r="C56" t="s">
        <v>29</v>
      </c>
      <c r="D56" t="s">
        <v>15</v>
      </c>
      <c r="E56" t="s">
        <v>21</v>
      </c>
      <c r="F56">
        <v>28</v>
      </c>
      <c r="G56" s="4">
        <v>44041</v>
      </c>
      <c r="H56" s="16">
        <v>48170</v>
      </c>
      <c r="I56" t="s">
        <v>13</v>
      </c>
    </row>
    <row r="57" spans="3:9" x14ac:dyDescent="0.3">
      <c r="C57" t="s">
        <v>108</v>
      </c>
      <c r="D57" t="s">
        <v>8</v>
      </c>
      <c r="E57" t="s">
        <v>56</v>
      </c>
      <c r="F57">
        <v>32</v>
      </c>
      <c r="G57" s="4">
        <v>44400</v>
      </c>
      <c r="H57" s="16">
        <v>45510</v>
      </c>
      <c r="I57" t="s">
        <v>16</v>
      </c>
    </row>
    <row r="58" spans="3:9" x14ac:dyDescent="0.3">
      <c r="C58" t="s">
        <v>64</v>
      </c>
      <c r="D58" t="s">
        <v>15</v>
      </c>
      <c r="E58" t="s">
        <v>9</v>
      </c>
      <c r="F58">
        <v>34</v>
      </c>
      <c r="G58" s="4">
        <v>44703</v>
      </c>
      <c r="H58" s="16">
        <v>112650</v>
      </c>
      <c r="I58" t="s">
        <v>16</v>
      </c>
    </row>
    <row r="59" spans="3:9" x14ac:dyDescent="0.3">
      <c r="C59" t="s">
        <v>83</v>
      </c>
      <c r="D59" t="s">
        <v>8</v>
      </c>
      <c r="E59" t="s">
        <v>9</v>
      </c>
      <c r="F59">
        <v>36</v>
      </c>
      <c r="G59" s="4">
        <v>44085</v>
      </c>
      <c r="H59" s="16">
        <v>114890</v>
      </c>
      <c r="I59" t="s">
        <v>16</v>
      </c>
    </row>
    <row r="60" spans="3:9" x14ac:dyDescent="0.3">
      <c r="C60" t="s">
        <v>67</v>
      </c>
      <c r="D60" t="s">
        <v>15</v>
      </c>
      <c r="E60" t="s">
        <v>12</v>
      </c>
      <c r="F60">
        <v>30</v>
      </c>
      <c r="G60" s="4">
        <v>44850</v>
      </c>
      <c r="H60" s="16">
        <v>69710</v>
      </c>
      <c r="I60" t="s">
        <v>16</v>
      </c>
    </row>
    <row r="61" spans="3:9" x14ac:dyDescent="0.3">
      <c r="C61" t="s">
        <v>94</v>
      </c>
      <c r="D61" t="s">
        <v>15</v>
      </c>
      <c r="E61" t="s">
        <v>21</v>
      </c>
      <c r="F61">
        <v>36</v>
      </c>
      <c r="G61" s="4">
        <v>44333</v>
      </c>
      <c r="H61" s="16">
        <v>71380</v>
      </c>
      <c r="I61" t="s">
        <v>16</v>
      </c>
    </row>
    <row r="62" spans="3:9" x14ac:dyDescent="0.3">
      <c r="C62" t="s">
        <v>33</v>
      </c>
      <c r="D62" t="s">
        <v>8</v>
      </c>
      <c r="E62" t="s">
        <v>19</v>
      </c>
      <c r="F62">
        <v>38</v>
      </c>
      <c r="G62" s="4">
        <v>44377</v>
      </c>
      <c r="H62" s="16">
        <v>109160</v>
      </c>
      <c r="I62" t="s">
        <v>10</v>
      </c>
    </row>
    <row r="63" spans="3:9" x14ac:dyDescent="0.3">
      <c r="C63" t="s">
        <v>98</v>
      </c>
      <c r="D63" t="s">
        <v>15</v>
      </c>
      <c r="E63" t="s">
        <v>9</v>
      </c>
      <c r="F63">
        <v>27</v>
      </c>
      <c r="G63" s="4">
        <v>44609</v>
      </c>
      <c r="H63" s="16">
        <v>113280</v>
      </c>
      <c r="I63" t="s">
        <v>42</v>
      </c>
    </row>
    <row r="64" spans="3:9" x14ac:dyDescent="0.3">
      <c r="C64" t="s">
        <v>25</v>
      </c>
      <c r="D64" t="s">
        <v>15</v>
      </c>
      <c r="E64" t="s">
        <v>12</v>
      </c>
      <c r="F64">
        <v>30</v>
      </c>
      <c r="G64" s="4">
        <v>44273</v>
      </c>
      <c r="H64" s="16">
        <v>69120</v>
      </c>
      <c r="I64" t="s">
        <v>16</v>
      </c>
    </row>
    <row r="65" spans="3:9" x14ac:dyDescent="0.3">
      <c r="C65" t="s">
        <v>55</v>
      </c>
      <c r="D65" t="s">
        <v>8</v>
      </c>
      <c r="E65" t="s">
        <v>56</v>
      </c>
      <c r="F65">
        <v>37</v>
      </c>
      <c r="G65" s="4">
        <v>44451</v>
      </c>
      <c r="H65" s="16">
        <v>118100</v>
      </c>
      <c r="I65" t="s">
        <v>16</v>
      </c>
    </row>
    <row r="66" spans="3:9" x14ac:dyDescent="0.3">
      <c r="C66" t="s">
        <v>62</v>
      </c>
      <c r="D66" t="s">
        <v>8</v>
      </c>
      <c r="E66" t="s">
        <v>9</v>
      </c>
      <c r="F66">
        <v>22</v>
      </c>
      <c r="G66" s="4">
        <v>44450</v>
      </c>
      <c r="H66" s="16">
        <v>76900</v>
      </c>
      <c r="I66" t="s">
        <v>13</v>
      </c>
    </row>
    <row r="67" spans="3:9" x14ac:dyDescent="0.3">
      <c r="C67" t="s">
        <v>17</v>
      </c>
      <c r="D67" t="s">
        <v>8</v>
      </c>
      <c r="E67" t="s">
        <v>12</v>
      </c>
      <c r="F67">
        <v>43</v>
      </c>
      <c r="G67" s="4">
        <v>45045</v>
      </c>
      <c r="H67" s="16">
        <v>114870</v>
      </c>
      <c r="I67" t="s">
        <v>16</v>
      </c>
    </row>
    <row r="68" spans="3:9" x14ac:dyDescent="0.3">
      <c r="C68" t="s">
        <v>52</v>
      </c>
      <c r="E68" t="s">
        <v>12</v>
      </c>
      <c r="F68">
        <v>32</v>
      </c>
      <c r="G68" s="4">
        <v>44774</v>
      </c>
      <c r="H68" s="16">
        <v>91310</v>
      </c>
      <c r="I68" t="s">
        <v>16</v>
      </c>
    </row>
    <row r="69" spans="3:9" x14ac:dyDescent="0.3">
      <c r="C69" t="s">
        <v>43</v>
      </c>
      <c r="D69" t="s">
        <v>8</v>
      </c>
      <c r="E69" t="s">
        <v>9</v>
      </c>
      <c r="F69">
        <v>28</v>
      </c>
      <c r="G69" s="4">
        <v>44486</v>
      </c>
      <c r="H69" s="16">
        <v>104770</v>
      </c>
      <c r="I69" t="s">
        <v>16</v>
      </c>
    </row>
    <row r="70" spans="3:9" x14ac:dyDescent="0.3">
      <c r="C70" t="s">
        <v>89</v>
      </c>
      <c r="D70" t="s">
        <v>15</v>
      </c>
      <c r="E70" t="s">
        <v>19</v>
      </c>
      <c r="F70">
        <v>27</v>
      </c>
      <c r="G70" s="4">
        <v>44134</v>
      </c>
      <c r="H70" s="16">
        <v>54970</v>
      </c>
      <c r="I70" t="s">
        <v>16</v>
      </c>
    </row>
    <row r="71" spans="3:9" x14ac:dyDescent="0.3">
      <c r="C71" t="s">
        <v>11</v>
      </c>
      <c r="E71" t="s">
        <v>12</v>
      </c>
      <c r="F71">
        <v>26</v>
      </c>
      <c r="G71" s="4">
        <v>44271</v>
      </c>
      <c r="H71" s="16">
        <v>90700</v>
      </c>
      <c r="I71" t="s">
        <v>13</v>
      </c>
    </row>
    <row r="72" spans="3:9" x14ac:dyDescent="0.3">
      <c r="C72" t="s">
        <v>109</v>
      </c>
      <c r="D72" t="s">
        <v>8</v>
      </c>
      <c r="E72" t="s">
        <v>19</v>
      </c>
      <c r="F72">
        <v>38</v>
      </c>
      <c r="G72" s="4">
        <v>44329</v>
      </c>
      <c r="H72" s="16">
        <v>56870</v>
      </c>
      <c r="I72" t="s">
        <v>13</v>
      </c>
    </row>
    <row r="73" spans="3:9" x14ac:dyDescent="0.3">
      <c r="C73" t="s">
        <v>77</v>
      </c>
      <c r="D73" t="s">
        <v>8</v>
      </c>
      <c r="E73" t="s">
        <v>19</v>
      </c>
      <c r="F73">
        <v>25</v>
      </c>
      <c r="G73" s="4">
        <v>44205</v>
      </c>
      <c r="H73" s="16">
        <v>92700</v>
      </c>
      <c r="I73" t="s">
        <v>16</v>
      </c>
    </row>
    <row r="74" spans="3:9" x14ac:dyDescent="0.3">
      <c r="C74" t="s">
        <v>32</v>
      </c>
      <c r="D74" t="s">
        <v>8</v>
      </c>
      <c r="E74" t="s">
        <v>21</v>
      </c>
      <c r="F74">
        <v>21</v>
      </c>
      <c r="G74" s="4">
        <v>44317</v>
      </c>
      <c r="H74" s="16">
        <v>65920</v>
      </c>
      <c r="I74" t="s">
        <v>16</v>
      </c>
    </row>
    <row r="75" spans="3:9" x14ac:dyDescent="0.3">
      <c r="C75" t="s">
        <v>59</v>
      </c>
      <c r="D75" t="s">
        <v>15</v>
      </c>
      <c r="E75" t="s">
        <v>9</v>
      </c>
      <c r="F75">
        <v>26</v>
      </c>
      <c r="G75" s="4">
        <v>44225</v>
      </c>
      <c r="H75" s="16">
        <v>47360</v>
      </c>
      <c r="I75" t="s">
        <v>16</v>
      </c>
    </row>
    <row r="76" spans="3:9" x14ac:dyDescent="0.3">
      <c r="C76" t="s">
        <v>37</v>
      </c>
      <c r="D76" t="s">
        <v>15</v>
      </c>
      <c r="E76" t="s">
        <v>9</v>
      </c>
      <c r="F76">
        <v>30</v>
      </c>
      <c r="G76" s="4">
        <v>44666</v>
      </c>
      <c r="H76" s="16">
        <v>60570</v>
      </c>
      <c r="I76" t="s">
        <v>16</v>
      </c>
    </row>
    <row r="77" spans="3:9" x14ac:dyDescent="0.3">
      <c r="C77" t="s">
        <v>96</v>
      </c>
      <c r="D77" t="s">
        <v>8</v>
      </c>
      <c r="E77" t="s">
        <v>9</v>
      </c>
      <c r="F77">
        <v>28</v>
      </c>
      <c r="G77" s="4">
        <v>44649</v>
      </c>
      <c r="H77" s="16">
        <v>104120</v>
      </c>
      <c r="I77" t="s">
        <v>16</v>
      </c>
    </row>
    <row r="78" spans="3:9" x14ac:dyDescent="0.3">
      <c r="C78" t="s">
        <v>23</v>
      </c>
      <c r="D78" t="s">
        <v>15</v>
      </c>
      <c r="E78" t="s">
        <v>12</v>
      </c>
      <c r="F78">
        <v>37</v>
      </c>
      <c r="G78" s="4">
        <v>44338</v>
      </c>
      <c r="H78" s="16">
        <v>88050</v>
      </c>
      <c r="I78" t="s">
        <v>24</v>
      </c>
    </row>
    <row r="79" spans="3:9" x14ac:dyDescent="0.3">
      <c r="C79" t="s">
        <v>103</v>
      </c>
      <c r="D79" t="s">
        <v>15</v>
      </c>
      <c r="E79" t="s">
        <v>12</v>
      </c>
      <c r="F79">
        <v>24</v>
      </c>
      <c r="G79" s="4">
        <v>44686</v>
      </c>
      <c r="H79" s="16">
        <v>100420</v>
      </c>
      <c r="I79" t="s">
        <v>16</v>
      </c>
    </row>
    <row r="80" spans="3:9" x14ac:dyDescent="0.3">
      <c r="C80" t="s">
        <v>54</v>
      </c>
      <c r="D80" t="s">
        <v>8</v>
      </c>
      <c r="E80" t="s">
        <v>9</v>
      </c>
      <c r="F80">
        <v>30</v>
      </c>
      <c r="G80" s="4">
        <v>44850</v>
      </c>
      <c r="H80" s="16">
        <v>114180</v>
      </c>
      <c r="I80" t="s">
        <v>16</v>
      </c>
    </row>
    <row r="81" spans="3:9" x14ac:dyDescent="0.3">
      <c r="C81" t="s">
        <v>86</v>
      </c>
      <c r="D81" t="s">
        <v>8</v>
      </c>
      <c r="E81" t="s">
        <v>12</v>
      </c>
      <c r="F81">
        <v>21</v>
      </c>
      <c r="G81" s="4">
        <v>44678</v>
      </c>
      <c r="H81" s="16">
        <v>33920</v>
      </c>
      <c r="I81" t="s">
        <v>16</v>
      </c>
    </row>
    <row r="82" spans="3:9" x14ac:dyDescent="0.3">
      <c r="C82" t="s">
        <v>69</v>
      </c>
      <c r="D82" t="s">
        <v>15</v>
      </c>
      <c r="E82" t="s">
        <v>9</v>
      </c>
      <c r="F82">
        <v>23</v>
      </c>
      <c r="G82" s="4">
        <v>44440</v>
      </c>
      <c r="H82" s="16">
        <v>106460</v>
      </c>
      <c r="I82" t="s">
        <v>16</v>
      </c>
    </row>
    <row r="83" spans="3:9" x14ac:dyDescent="0.3">
      <c r="C83" t="s">
        <v>57</v>
      </c>
      <c r="D83" t="s">
        <v>15</v>
      </c>
      <c r="E83" t="s">
        <v>9</v>
      </c>
      <c r="F83">
        <v>35</v>
      </c>
      <c r="G83" s="4">
        <v>44727</v>
      </c>
      <c r="H83" s="16">
        <v>40400</v>
      </c>
      <c r="I83" t="s">
        <v>16</v>
      </c>
    </row>
    <row r="84" spans="3:9" x14ac:dyDescent="0.3">
      <c r="C84" t="s">
        <v>68</v>
      </c>
      <c r="D84" t="s">
        <v>15</v>
      </c>
      <c r="E84" t="s">
        <v>21</v>
      </c>
      <c r="F84">
        <v>27</v>
      </c>
      <c r="G84" s="4">
        <v>44236</v>
      </c>
      <c r="H84" s="16">
        <v>91650</v>
      </c>
      <c r="I84" t="s">
        <v>13</v>
      </c>
    </row>
    <row r="85" spans="3:9" x14ac:dyDescent="0.3">
      <c r="C85" t="s">
        <v>99</v>
      </c>
      <c r="D85" t="s">
        <v>15</v>
      </c>
      <c r="E85" t="s">
        <v>19</v>
      </c>
      <c r="F85">
        <v>43</v>
      </c>
      <c r="G85" s="4">
        <v>44620</v>
      </c>
      <c r="H85" s="16">
        <v>36040</v>
      </c>
      <c r="I85" t="s">
        <v>16</v>
      </c>
    </row>
    <row r="86" spans="3:9" x14ac:dyDescent="0.3">
      <c r="C86" t="s">
        <v>101</v>
      </c>
      <c r="D86" t="s">
        <v>8</v>
      </c>
      <c r="E86" t="s">
        <v>12</v>
      </c>
      <c r="F86">
        <v>40</v>
      </c>
      <c r="G86" s="4">
        <v>44381</v>
      </c>
      <c r="H86" s="16">
        <v>104410</v>
      </c>
      <c r="I86" t="s">
        <v>16</v>
      </c>
    </row>
    <row r="87" spans="3:9" x14ac:dyDescent="0.3">
      <c r="C87" t="s">
        <v>85</v>
      </c>
      <c r="D87" t="s">
        <v>15</v>
      </c>
      <c r="E87" t="s">
        <v>21</v>
      </c>
      <c r="F87">
        <v>30</v>
      </c>
      <c r="G87" s="4">
        <v>44606</v>
      </c>
      <c r="H87" s="16">
        <v>96800</v>
      </c>
      <c r="I87" t="s">
        <v>16</v>
      </c>
    </row>
    <row r="88" spans="3:9" x14ac:dyDescent="0.3">
      <c r="C88" t="s">
        <v>28</v>
      </c>
      <c r="D88" t="s">
        <v>8</v>
      </c>
      <c r="E88" t="s">
        <v>21</v>
      </c>
      <c r="F88">
        <v>34</v>
      </c>
      <c r="G88" s="4">
        <v>44459</v>
      </c>
      <c r="H88" s="16">
        <v>85000</v>
      </c>
      <c r="I88" t="s">
        <v>16</v>
      </c>
    </row>
    <row r="89" spans="3:9" x14ac:dyDescent="0.3">
      <c r="C89" t="s">
        <v>80</v>
      </c>
      <c r="D89" t="s">
        <v>15</v>
      </c>
      <c r="E89" t="s">
        <v>19</v>
      </c>
      <c r="F89">
        <v>28</v>
      </c>
      <c r="G89" s="4">
        <v>44820</v>
      </c>
      <c r="H89" s="16">
        <v>43510</v>
      </c>
      <c r="I89" t="s">
        <v>42</v>
      </c>
    </row>
    <row r="90" spans="3:9" x14ac:dyDescent="0.3">
      <c r="C90" t="s">
        <v>79</v>
      </c>
      <c r="D90" t="s">
        <v>15</v>
      </c>
      <c r="E90" t="s">
        <v>21</v>
      </c>
      <c r="F90">
        <v>33</v>
      </c>
      <c r="G90" s="4">
        <v>44243</v>
      </c>
      <c r="H90" s="16">
        <v>59430</v>
      </c>
      <c r="I90" t="s">
        <v>16</v>
      </c>
    </row>
    <row r="91" spans="3:9" x14ac:dyDescent="0.3">
      <c r="C91" t="s">
        <v>93</v>
      </c>
      <c r="D91" t="s">
        <v>8</v>
      </c>
      <c r="E91" t="s">
        <v>21</v>
      </c>
      <c r="F91">
        <v>33</v>
      </c>
      <c r="G91" s="4">
        <v>44067</v>
      </c>
      <c r="H91" s="16">
        <v>65360</v>
      </c>
      <c r="I91" t="s">
        <v>16</v>
      </c>
    </row>
    <row r="92" spans="3:9" x14ac:dyDescent="0.3">
      <c r="C92" t="s">
        <v>66</v>
      </c>
      <c r="D92" t="s">
        <v>8</v>
      </c>
      <c r="E92" t="s">
        <v>9</v>
      </c>
      <c r="F92">
        <v>32</v>
      </c>
      <c r="G92" s="4">
        <v>44611</v>
      </c>
      <c r="H92" s="16">
        <v>41570</v>
      </c>
      <c r="I92" t="s">
        <v>16</v>
      </c>
    </row>
    <row r="93" spans="3:9" x14ac:dyDescent="0.3">
      <c r="C93" t="s">
        <v>95</v>
      </c>
      <c r="D93" t="s">
        <v>8</v>
      </c>
      <c r="E93" t="s">
        <v>12</v>
      </c>
      <c r="F93">
        <v>33</v>
      </c>
      <c r="G93" s="4">
        <v>44312</v>
      </c>
      <c r="H93" s="16">
        <v>75280</v>
      </c>
      <c r="I93" t="s">
        <v>16</v>
      </c>
    </row>
    <row r="94" spans="3:9" x14ac:dyDescent="0.3">
      <c r="C94" t="s">
        <v>18</v>
      </c>
      <c r="D94" t="s">
        <v>15</v>
      </c>
      <c r="E94" t="s">
        <v>19</v>
      </c>
      <c r="F94">
        <v>33</v>
      </c>
      <c r="G94" s="4">
        <v>44385</v>
      </c>
      <c r="H94" s="16">
        <v>74550</v>
      </c>
      <c r="I94" t="s">
        <v>16</v>
      </c>
    </row>
    <row r="95" spans="3:9" x14ac:dyDescent="0.3">
      <c r="C95" t="s">
        <v>45</v>
      </c>
      <c r="D95" t="s">
        <v>15</v>
      </c>
      <c r="E95" t="s">
        <v>9</v>
      </c>
      <c r="F95">
        <v>30</v>
      </c>
      <c r="G95" s="4">
        <v>44701</v>
      </c>
      <c r="H95" s="16">
        <v>67950</v>
      </c>
      <c r="I95" t="s">
        <v>16</v>
      </c>
    </row>
    <row r="96" spans="3:9" x14ac:dyDescent="0.3">
      <c r="C96" t="s">
        <v>90</v>
      </c>
      <c r="D96" t="s">
        <v>15</v>
      </c>
      <c r="E96" t="s">
        <v>21</v>
      </c>
      <c r="F96">
        <v>42</v>
      </c>
      <c r="G96" s="4">
        <v>44731</v>
      </c>
      <c r="H96" s="16">
        <v>70270</v>
      </c>
      <c r="I96" t="s">
        <v>24</v>
      </c>
    </row>
    <row r="97" spans="3:9" x14ac:dyDescent="0.3">
      <c r="C97" t="s">
        <v>46</v>
      </c>
      <c r="D97" t="s">
        <v>15</v>
      </c>
      <c r="E97" t="s">
        <v>9</v>
      </c>
      <c r="F97">
        <v>26</v>
      </c>
      <c r="G97" s="4">
        <v>44411</v>
      </c>
      <c r="H97" s="16">
        <v>53540</v>
      </c>
      <c r="I97" t="s">
        <v>16</v>
      </c>
    </row>
    <row r="98" spans="3:9" x14ac:dyDescent="0.3">
      <c r="C98" t="s">
        <v>58</v>
      </c>
      <c r="D98" t="s">
        <v>15</v>
      </c>
      <c r="E98" t="s">
        <v>19</v>
      </c>
      <c r="F98">
        <v>22</v>
      </c>
      <c r="G98" s="4">
        <v>44446</v>
      </c>
      <c r="H98" s="16">
        <v>112780</v>
      </c>
      <c r="I98" t="s">
        <v>13</v>
      </c>
    </row>
    <row r="99" spans="3:9" x14ac:dyDescent="0.3">
      <c r="C99" t="s">
        <v>70</v>
      </c>
      <c r="D99" t="s">
        <v>15</v>
      </c>
      <c r="E99" t="s">
        <v>9</v>
      </c>
      <c r="F99">
        <v>46</v>
      </c>
      <c r="G99" s="4">
        <v>44758</v>
      </c>
      <c r="H99" s="16">
        <v>70610</v>
      </c>
      <c r="I99" t="s">
        <v>16</v>
      </c>
    </row>
    <row r="100" spans="3:9" x14ac:dyDescent="0.3">
      <c r="C100" t="s">
        <v>75</v>
      </c>
      <c r="D100" t="s">
        <v>8</v>
      </c>
      <c r="E100" t="s">
        <v>19</v>
      </c>
      <c r="F100">
        <v>28</v>
      </c>
      <c r="G100" s="4">
        <v>44357</v>
      </c>
      <c r="H100" s="16">
        <v>53240</v>
      </c>
      <c r="I100" t="s">
        <v>16</v>
      </c>
    </row>
    <row r="101" spans="3:9" x14ac:dyDescent="0.3">
      <c r="C101" t="s">
        <v>49</v>
      </c>
      <c r="E101" t="s">
        <v>21</v>
      </c>
      <c r="F101">
        <v>37</v>
      </c>
      <c r="G101" s="4">
        <v>44146</v>
      </c>
      <c r="H101" s="16">
        <v>115440</v>
      </c>
      <c r="I101" t="s">
        <v>24</v>
      </c>
    </row>
    <row r="102" spans="3:9" x14ac:dyDescent="0.3">
      <c r="C102" t="s">
        <v>65</v>
      </c>
      <c r="D102" t="s">
        <v>15</v>
      </c>
      <c r="E102" t="s">
        <v>19</v>
      </c>
      <c r="F102">
        <v>32</v>
      </c>
      <c r="G102" s="4">
        <v>44465</v>
      </c>
      <c r="H102" s="16">
        <v>53540</v>
      </c>
      <c r="I102" t="s">
        <v>16</v>
      </c>
    </row>
    <row r="103" spans="3:9" x14ac:dyDescent="0.3">
      <c r="C103" t="s">
        <v>81</v>
      </c>
      <c r="D103" t="s">
        <v>8</v>
      </c>
      <c r="E103" t="s">
        <v>9</v>
      </c>
      <c r="F103">
        <v>30</v>
      </c>
      <c r="G103" s="4">
        <v>44861</v>
      </c>
      <c r="H103" s="16">
        <v>112570</v>
      </c>
      <c r="I103" t="s">
        <v>16</v>
      </c>
    </row>
    <row r="104" spans="3:9" x14ac:dyDescent="0.3">
      <c r="C104" t="s">
        <v>51</v>
      </c>
      <c r="D104" t="s">
        <v>15</v>
      </c>
      <c r="E104" t="s">
        <v>9</v>
      </c>
      <c r="F104">
        <v>33</v>
      </c>
      <c r="G104" s="4">
        <v>44701</v>
      </c>
      <c r="H104" s="16">
        <v>48530</v>
      </c>
      <c r="I104" t="s">
        <v>13</v>
      </c>
    </row>
    <row r="105" spans="3:9" x14ac:dyDescent="0.3">
      <c r="C105" t="s">
        <v>61</v>
      </c>
      <c r="D105" t="s">
        <v>8</v>
      </c>
      <c r="E105" t="s">
        <v>12</v>
      </c>
      <c r="F105">
        <v>24</v>
      </c>
      <c r="G105" s="4">
        <v>44148</v>
      </c>
      <c r="H105" s="16">
        <v>62780</v>
      </c>
      <c r="I105" t="s">
        <v>16</v>
      </c>
    </row>
    <row r="106" spans="3:9" x14ac:dyDescent="0.3">
      <c r="C106" t="s">
        <v>203</v>
      </c>
      <c r="F106">
        <f>SUBTOTAL(101,newzeland[Age])</f>
        <v>30.52</v>
      </c>
      <c r="H106" s="16">
        <f>SUBTOTAL(101,newzeland[Salary])</f>
        <v>77472.100000000006</v>
      </c>
      <c r="I106">
        <f>SUBTOTAL(103,newzeland[Rating])</f>
        <v>100</v>
      </c>
    </row>
  </sheetData>
  <conditionalFormatting sqref="C6:C105">
    <cfRule type="duplicateValues" dxfId="14" priority="1"/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2EC4-DDE2-4CB7-AC70-5AB590F93835}">
  <dimension ref="B2:H115"/>
  <sheetViews>
    <sheetView workbookViewId="0">
      <selection activeCell="E110" sqref="E110"/>
    </sheetView>
  </sheetViews>
  <sheetFormatPr defaultRowHeight="14.4" x14ac:dyDescent="0.3"/>
  <cols>
    <col min="2" max="2" width="27.21875" bestFit="1" customWidth="1"/>
    <col min="3" max="3" width="9" customWidth="1"/>
    <col min="4" max="4" width="6.109375" customWidth="1"/>
    <col min="5" max="5" width="13.109375" bestFit="1" customWidth="1"/>
    <col min="6" max="6" width="12.6640625" customWidth="1"/>
    <col min="7" max="7" width="13" customWidth="1"/>
    <col min="8" max="8" width="8" customWidth="1"/>
  </cols>
  <sheetData>
    <row r="2" spans="2:8" x14ac:dyDescent="0.3">
      <c r="B2" s="9" t="s">
        <v>0</v>
      </c>
      <c r="C2" s="10" t="s">
        <v>1</v>
      </c>
      <c r="D2" s="10" t="s">
        <v>3</v>
      </c>
      <c r="E2" s="10" t="s">
        <v>6</v>
      </c>
      <c r="F2" s="10" t="s">
        <v>4</v>
      </c>
      <c r="G2" s="10" t="s">
        <v>2</v>
      </c>
      <c r="H2" s="11" t="s">
        <v>5</v>
      </c>
    </row>
    <row r="3" spans="2:8" x14ac:dyDescent="0.3">
      <c r="B3" s="7" t="s">
        <v>156</v>
      </c>
      <c r="C3" s="5" t="s">
        <v>15</v>
      </c>
      <c r="D3" s="5">
        <v>20</v>
      </c>
      <c r="E3" s="5" t="s">
        <v>16</v>
      </c>
      <c r="F3" s="6">
        <v>44122</v>
      </c>
      <c r="G3" s="5" t="s">
        <v>12</v>
      </c>
      <c r="H3" s="8">
        <v>112650</v>
      </c>
    </row>
    <row r="4" spans="2:8" x14ac:dyDescent="0.3">
      <c r="B4" s="7" t="s">
        <v>176</v>
      </c>
      <c r="C4" s="5" t="s">
        <v>8</v>
      </c>
      <c r="D4" s="5">
        <v>32</v>
      </c>
      <c r="E4" s="5" t="s">
        <v>13</v>
      </c>
      <c r="F4" s="6">
        <v>44293</v>
      </c>
      <c r="G4" s="5" t="s">
        <v>12</v>
      </c>
      <c r="H4" s="8">
        <v>43840</v>
      </c>
    </row>
    <row r="5" spans="2:8" x14ac:dyDescent="0.3">
      <c r="B5" s="7" t="s">
        <v>143</v>
      </c>
      <c r="C5" s="5" t="s">
        <v>15</v>
      </c>
      <c r="D5" s="5">
        <v>31</v>
      </c>
      <c r="E5" s="5" t="s">
        <v>16</v>
      </c>
      <c r="F5" s="6">
        <v>44663</v>
      </c>
      <c r="G5" s="5" t="s">
        <v>9</v>
      </c>
      <c r="H5" s="8">
        <v>103550</v>
      </c>
    </row>
    <row r="6" spans="2:8" x14ac:dyDescent="0.3">
      <c r="B6" s="7" t="s">
        <v>201</v>
      </c>
      <c r="C6" s="5" t="s">
        <v>8</v>
      </c>
      <c r="D6" s="5">
        <v>32</v>
      </c>
      <c r="E6" s="5" t="s">
        <v>16</v>
      </c>
      <c r="F6" s="6">
        <v>44339</v>
      </c>
      <c r="G6" s="5" t="s">
        <v>56</v>
      </c>
      <c r="H6" s="8">
        <v>45510</v>
      </c>
    </row>
    <row r="7" spans="2:8" x14ac:dyDescent="0.3">
      <c r="B7" s="7" t="s">
        <v>142</v>
      </c>
      <c r="C7" s="5"/>
      <c r="D7" s="5">
        <v>37</v>
      </c>
      <c r="E7" s="5" t="s">
        <v>24</v>
      </c>
      <c r="F7" s="6">
        <v>44085</v>
      </c>
      <c r="G7" s="5" t="s">
        <v>21</v>
      </c>
      <c r="H7" s="8">
        <v>115440</v>
      </c>
    </row>
    <row r="8" spans="2:8" x14ac:dyDescent="0.3">
      <c r="B8" s="7" t="s">
        <v>202</v>
      </c>
      <c r="C8" s="5" t="s">
        <v>8</v>
      </c>
      <c r="D8" s="5">
        <v>38</v>
      </c>
      <c r="E8" s="5" t="s">
        <v>13</v>
      </c>
      <c r="F8" s="6">
        <v>44268</v>
      </c>
      <c r="G8" s="5" t="s">
        <v>19</v>
      </c>
      <c r="H8" s="8">
        <v>56870</v>
      </c>
    </row>
    <row r="9" spans="2:8" x14ac:dyDescent="0.3">
      <c r="B9" s="7" t="s">
        <v>169</v>
      </c>
      <c r="C9" s="5" t="s">
        <v>8</v>
      </c>
      <c r="D9" s="5">
        <v>25</v>
      </c>
      <c r="E9" s="5" t="s">
        <v>16</v>
      </c>
      <c r="F9" s="6">
        <v>44144</v>
      </c>
      <c r="G9" s="5" t="s">
        <v>19</v>
      </c>
      <c r="H9" s="8">
        <v>92700</v>
      </c>
    </row>
    <row r="10" spans="2:8" x14ac:dyDescent="0.3">
      <c r="B10" s="7" t="s">
        <v>145</v>
      </c>
      <c r="C10" s="5"/>
      <c r="D10" s="5">
        <v>32</v>
      </c>
      <c r="E10" s="5" t="s">
        <v>16</v>
      </c>
      <c r="F10" s="6">
        <v>44713</v>
      </c>
      <c r="G10" s="5" t="s">
        <v>12</v>
      </c>
      <c r="H10" s="8">
        <v>91310</v>
      </c>
    </row>
    <row r="11" spans="2:8" x14ac:dyDescent="0.3">
      <c r="B11" s="7" t="s">
        <v>115</v>
      </c>
      <c r="C11" s="5" t="s">
        <v>15</v>
      </c>
      <c r="D11" s="5">
        <v>33</v>
      </c>
      <c r="E11" s="5" t="s">
        <v>16</v>
      </c>
      <c r="F11" s="6">
        <v>44324</v>
      </c>
      <c r="G11" s="5" t="s">
        <v>19</v>
      </c>
      <c r="H11" s="8">
        <v>74550</v>
      </c>
    </row>
    <row r="12" spans="2:8" x14ac:dyDescent="0.3">
      <c r="B12" s="7" t="s">
        <v>128</v>
      </c>
      <c r="C12" s="5" t="s">
        <v>15</v>
      </c>
      <c r="D12" s="5">
        <v>25</v>
      </c>
      <c r="E12" s="5" t="s">
        <v>13</v>
      </c>
      <c r="F12" s="6">
        <v>44665</v>
      </c>
      <c r="G12" s="5" t="s">
        <v>9</v>
      </c>
      <c r="H12" s="8">
        <v>109190</v>
      </c>
    </row>
    <row r="13" spans="2:8" x14ac:dyDescent="0.3">
      <c r="B13" s="7" t="s">
        <v>194</v>
      </c>
      <c r="C13" s="5" t="s">
        <v>8</v>
      </c>
      <c r="D13" s="5">
        <v>40</v>
      </c>
      <c r="E13" s="5" t="s">
        <v>16</v>
      </c>
      <c r="F13" s="6">
        <v>44320</v>
      </c>
      <c r="G13" s="5" t="s">
        <v>12</v>
      </c>
      <c r="H13" s="8">
        <v>104410</v>
      </c>
    </row>
    <row r="14" spans="2:8" x14ac:dyDescent="0.3">
      <c r="B14" s="7" t="s">
        <v>177</v>
      </c>
      <c r="C14" s="5" t="s">
        <v>15</v>
      </c>
      <c r="D14" s="5">
        <v>30</v>
      </c>
      <c r="E14" s="5" t="s">
        <v>16</v>
      </c>
      <c r="F14" s="6">
        <v>44544</v>
      </c>
      <c r="G14" s="5" t="s">
        <v>21</v>
      </c>
      <c r="H14" s="8">
        <v>96800</v>
      </c>
    </row>
    <row r="15" spans="2:8" x14ac:dyDescent="0.3">
      <c r="B15" s="7" t="s">
        <v>123</v>
      </c>
      <c r="C15" s="5" t="s">
        <v>15</v>
      </c>
      <c r="D15" s="5">
        <v>28</v>
      </c>
      <c r="E15" s="5" t="s">
        <v>13</v>
      </c>
      <c r="F15" s="6">
        <v>43980</v>
      </c>
      <c r="G15" s="5" t="s">
        <v>21</v>
      </c>
      <c r="H15" s="8">
        <v>48170</v>
      </c>
    </row>
    <row r="16" spans="2:8" x14ac:dyDescent="0.3">
      <c r="B16" s="7" t="s">
        <v>140</v>
      </c>
      <c r="C16" s="5" t="s">
        <v>15</v>
      </c>
      <c r="D16" s="5">
        <v>21</v>
      </c>
      <c r="E16" s="5" t="s">
        <v>16</v>
      </c>
      <c r="F16" s="6">
        <v>44042</v>
      </c>
      <c r="G16" s="5" t="s">
        <v>9</v>
      </c>
      <c r="H16" s="8">
        <v>37920</v>
      </c>
    </row>
    <row r="17" spans="2:8" x14ac:dyDescent="0.3">
      <c r="B17" s="7" t="s">
        <v>178</v>
      </c>
      <c r="C17" s="5" t="s">
        <v>15</v>
      </c>
      <c r="D17" s="5">
        <v>34</v>
      </c>
      <c r="E17" s="5" t="s">
        <v>16</v>
      </c>
      <c r="F17" s="6">
        <v>44642</v>
      </c>
      <c r="G17" s="5" t="s">
        <v>9</v>
      </c>
      <c r="H17" s="8">
        <v>112650</v>
      </c>
    </row>
    <row r="18" spans="2:8" x14ac:dyDescent="0.3">
      <c r="B18" s="7" t="s">
        <v>165</v>
      </c>
      <c r="C18" s="5" t="s">
        <v>8</v>
      </c>
      <c r="D18" s="5">
        <v>34</v>
      </c>
      <c r="E18" s="5" t="s">
        <v>24</v>
      </c>
      <c r="F18" s="6">
        <v>44660</v>
      </c>
      <c r="G18" s="5" t="s">
        <v>19</v>
      </c>
      <c r="H18" s="8">
        <v>49630</v>
      </c>
    </row>
    <row r="19" spans="2:8" x14ac:dyDescent="0.3">
      <c r="B19" s="7" t="s">
        <v>199</v>
      </c>
      <c r="C19" s="5" t="s">
        <v>15</v>
      </c>
      <c r="D19" s="5">
        <v>36</v>
      </c>
      <c r="E19" s="5" t="s">
        <v>16</v>
      </c>
      <c r="F19" s="6">
        <v>43958</v>
      </c>
      <c r="G19" s="5" t="s">
        <v>12</v>
      </c>
      <c r="H19" s="8">
        <v>118840</v>
      </c>
    </row>
    <row r="20" spans="2:8" x14ac:dyDescent="0.3">
      <c r="B20" s="7" t="s">
        <v>159</v>
      </c>
      <c r="C20" s="5" t="s">
        <v>15</v>
      </c>
      <c r="D20" s="5">
        <v>30</v>
      </c>
      <c r="E20" s="5" t="s">
        <v>16</v>
      </c>
      <c r="F20" s="6">
        <v>44789</v>
      </c>
      <c r="G20" s="5" t="s">
        <v>12</v>
      </c>
      <c r="H20" s="8">
        <v>69710</v>
      </c>
    </row>
    <row r="21" spans="2:8" x14ac:dyDescent="0.3">
      <c r="B21" s="7" t="s">
        <v>197</v>
      </c>
      <c r="C21" s="5" t="s">
        <v>15</v>
      </c>
      <c r="D21" s="5">
        <v>20</v>
      </c>
      <c r="E21" s="5" t="s">
        <v>16</v>
      </c>
      <c r="F21" s="6">
        <v>44683</v>
      </c>
      <c r="G21" s="5" t="s">
        <v>9</v>
      </c>
      <c r="H21" s="8">
        <v>79570</v>
      </c>
    </row>
    <row r="22" spans="2:8" x14ac:dyDescent="0.3">
      <c r="B22" s="7" t="s">
        <v>154</v>
      </c>
      <c r="C22" s="5" t="s">
        <v>8</v>
      </c>
      <c r="D22" s="5">
        <v>22</v>
      </c>
      <c r="E22" s="5" t="s">
        <v>13</v>
      </c>
      <c r="F22" s="6">
        <v>44388</v>
      </c>
      <c r="G22" s="5" t="s">
        <v>9</v>
      </c>
      <c r="H22" s="8">
        <v>76900</v>
      </c>
    </row>
    <row r="23" spans="2:8" x14ac:dyDescent="0.3">
      <c r="B23" s="7" t="s">
        <v>182</v>
      </c>
      <c r="C23" s="5" t="s">
        <v>15</v>
      </c>
      <c r="D23" s="5">
        <v>27</v>
      </c>
      <c r="E23" s="5" t="s">
        <v>16</v>
      </c>
      <c r="F23" s="6">
        <v>44073</v>
      </c>
      <c r="G23" s="5" t="s">
        <v>19</v>
      </c>
      <c r="H23" s="8">
        <v>54970</v>
      </c>
    </row>
    <row r="24" spans="2:8" x14ac:dyDescent="0.3">
      <c r="B24" s="7" t="s">
        <v>118</v>
      </c>
      <c r="C24" s="5" t="s">
        <v>15</v>
      </c>
      <c r="D24" s="5">
        <v>37</v>
      </c>
      <c r="E24" s="5" t="s">
        <v>24</v>
      </c>
      <c r="F24" s="6">
        <v>44277</v>
      </c>
      <c r="G24" s="5" t="s">
        <v>12</v>
      </c>
      <c r="H24" s="8">
        <v>88050</v>
      </c>
    </row>
    <row r="25" spans="2:8" x14ac:dyDescent="0.3">
      <c r="B25" s="7" t="s">
        <v>192</v>
      </c>
      <c r="C25" s="5" t="s">
        <v>15</v>
      </c>
      <c r="D25" s="5">
        <v>43</v>
      </c>
      <c r="E25" s="5" t="s">
        <v>16</v>
      </c>
      <c r="F25" s="6">
        <v>44558</v>
      </c>
      <c r="G25" s="5" t="s">
        <v>19</v>
      </c>
      <c r="H25" s="8">
        <v>36040</v>
      </c>
    </row>
    <row r="26" spans="2:8" x14ac:dyDescent="0.3">
      <c r="B26" s="7" t="s">
        <v>111</v>
      </c>
      <c r="C26" s="5" t="s">
        <v>8</v>
      </c>
      <c r="D26" s="5">
        <v>42</v>
      </c>
      <c r="E26" s="5" t="s">
        <v>10</v>
      </c>
      <c r="F26" s="6">
        <v>44718</v>
      </c>
      <c r="G26" s="5" t="s">
        <v>9</v>
      </c>
      <c r="H26" s="8">
        <v>75000</v>
      </c>
    </row>
    <row r="27" spans="2:8" x14ac:dyDescent="0.3">
      <c r="B27" s="7" t="s">
        <v>149</v>
      </c>
      <c r="C27" s="5" t="s">
        <v>15</v>
      </c>
      <c r="D27" s="5">
        <v>35</v>
      </c>
      <c r="E27" s="5" t="s">
        <v>16</v>
      </c>
      <c r="F27" s="6">
        <v>44666</v>
      </c>
      <c r="G27" s="5" t="s">
        <v>9</v>
      </c>
      <c r="H27" s="8">
        <v>40400</v>
      </c>
    </row>
    <row r="28" spans="2:8" x14ac:dyDescent="0.3">
      <c r="B28" s="7" t="s">
        <v>196</v>
      </c>
      <c r="C28" s="5" t="s">
        <v>15</v>
      </c>
      <c r="D28" s="5">
        <v>24</v>
      </c>
      <c r="E28" s="5" t="s">
        <v>16</v>
      </c>
      <c r="F28" s="6">
        <v>44625</v>
      </c>
      <c r="G28" s="5" t="s">
        <v>12</v>
      </c>
      <c r="H28" s="8">
        <v>100420</v>
      </c>
    </row>
    <row r="29" spans="2:8" x14ac:dyDescent="0.3">
      <c r="B29" s="7" t="s">
        <v>120</v>
      </c>
      <c r="C29" s="5" t="s">
        <v>8</v>
      </c>
      <c r="D29" s="5">
        <v>31</v>
      </c>
      <c r="E29" s="5" t="s">
        <v>16</v>
      </c>
      <c r="F29" s="6">
        <v>44604</v>
      </c>
      <c r="G29" s="5" t="s">
        <v>12</v>
      </c>
      <c r="H29" s="8">
        <v>58100</v>
      </c>
    </row>
    <row r="30" spans="2:8" x14ac:dyDescent="0.3">
      <c r="B30" s="7" t="s">
        <v>114</v>
      </c>
      <c r="C30" s="5" t="s">
        <v>8</v>
      </c>
      <c r="D30" s="5">
        <v>44</v>
      </c>
      <c r="E30" s="5" t="s">
        <v>16</v>
      </c>
      <c r="F30" s="6">
        <v>44985</v>
      </c>
      <c r="G30" s="5" t="s">
        <v>12</v>
      </c>
      <c r="H30" s="8">
        <v>114870</v>
      </c>
    </row>
    <row r="31" spans="2:8" x14ac:dyDescent="0.3">
      <c r="B31" s="7" t="s">
        <v>158</v>
      </c>
      <c r="C31" s="5" t="s">
        <v>8</v>
      </c>
      <c r="D31" s="5">
        <v>32</v>
      </c>
      <c r="E31" s="5" t="s">
        <v>16</v>
      </c>
      <c r="F31" s="6">
        <v>44549</v>
      </c>
      <c r="G31" s="5" t="s">
        <v>9</v>
      </c>
      <c r="H31" s="8">
        <v>41570</v>
      </c>
    </row>
    <row r="32" spans="2:8" x14ac:dyDescent="0.3">
      <c r="B32" s="7" t="s">
        <v>173</v>
      </c>
      <c r="C32" s="5" t="s">
        <v>8</v>
      </c>
      <c r="D32" s="5">
        <v>30</v>
      </c>
      <c r="E32" s="5" t="s">
        <v>16</v>
      </c>
      <c r="F32" s="6">
        <v>44800</v>
      </c>
      <c r="G32" s="5" t="s">
        <v>9</v>
      </c>
      <c r="H32" s="8">
        <v>112570</v>
      </c>
    </row>
    <row r="33" spans="2:8" x14ac:dyDescent="0.3">
      <c r="B33" s="7" t="s">
        <v>151</v>
      </c>
      <c r="C33" s="5" t="s">
        <v>15</v>
      </c>
      <c r="D33" s="5">
        <v>26</v>
      </c>
      <c r="E33" s="5" t="s">
        <v>16</v>
      </c>
      <c r="F33" s="6">
        <v>44164</v>
      </c>
      <c r="G33" s="5" t="s">
        <v>9</v>
      </c>
      <c r="H33" s="8">
        <v>47360</v>
      </c>
    </row>
    <row r="34" spans="2:8" x14ac:dyDescent="0.3">
      <c r="B34" s="7" t="s">
        <v>126</v>
      </c>
      <c r="C34" s="5" t="s">
        <v>8</v>
      </c>
      <c r="D34" s="5">
        <v>21</v>
      </c>
      <c r="E34" s="5" t="s">
        <v>16</v>
      </c>
      <c r="F34" s="6">
        <v>44256</v>
      </c>
      <c r="G34" s="5" t="s">
        <v>21</v>
      </c>
      <c r="H34" s="8">
        <v>65920</v>
      </c>
    </row>
    <row r="35" spans="2:8" x14ac:dyDescent="0.3">
      <c r="B35" s="7" t="s">
        <v>200</v>
      </c>
      <c r="C35" s="5" t="s">
        <v>8</v>
      </c>
      <c r="D35" s="5">
        <v>28</v>
      </c>
      <c r="E35" s="5" t="s">
        <v>16</v>
      </c>
      <c r="F35" s="6">
        <v>44571</v>
      </c>
      <c r="G35" s="5" t="s">
        <v>9</v>
      </c>
      <c r="H35" s="8">
        <v>99970</v>
      </c>
    </row>
    <row r="36" spans="2:8" x14ac:dyDescent="0.3">
      <c r="B36" s="7" t="s">
        <v>133</v>
      </c>
      <c r="C36" s="5" t="s">
        <v>8</v>
      </c>
      <c r="D36" s="5">
        <v>25</v>
      </c>
      <c r="E36" s="5" t="s">
        <v>13</v>
      </c>
      <c r="F36" s="6">
        <v>44633</v>
      </c>
      <c r="G36" s="5" t="s">
        <v>12</v>
      </c>
      <c r="H36" s="8">
        <v>80700</v>
      </c>
    </row>
    <row r="37" spans="2:8" x14ac:dyDescent="0.3">
      <c r="B37" s="7" t="s">
        <v>155</v>
      </c>
      <c r="C37" s="5" t="s">
        <v>15</v>
      </c>
      <c r="D37" s="5">
        <v>24</v>
      </c>
      <c r="E37" s="5" t="s">
        <v>24</v>
      </c>
      <c r="F37" s="6">
        <v>44375</v>
      </c>
      <c r="G37" s="5" t="s">
        <v>21</v>
      </c>
      <c r="H37" s="8">
        <v>52610</v>
      </c>
    </row>
    <row r="38" spans="2:8" x14ac:dyDescent="0.3">
      <c r="B38" s="7" t="s">
        <v>180</v>
      </c>
      <c r="C38" s="5" t="s">
        <v>15</v>
      </c>
      <c r="D38" s="5">
        <v>29</v>
      </c>
      <c r="E38" s="5" t="s">
        <v>24</v>
      </c>
      <c r="F38" s="6">
        <v>44119</v>
      </c>
      <c r="G38" s="5" t="s">
        <v>12</v>
      </c>
      <c r="H38" s="8">
        <v>112110</v>
      </c>
    </row>
    <row r="39" spans="2:8" x14ac:dyDescent="0.3">
      <c r="B39" s="7" t="s">
        <v>152</v>
      </c>
      <c r="C39" s="5" t="s">
        <v>8</v>
      </c>
      <c r="D39" s="5">
        <v>27</v>
      </c>
      <c r="E39" s="5" t="s">
        <v>16</v>
      </c>
      <c r="F39" s="6">
        <v>44061</v>
      </c>
      <c r="G39" s="5" t="s">
        <v>56</v>
      </c>
      <c r="H39" s="8">
        <v>119110</v>
      </c>
    </row>
    <row r="40" spans="2:8" x14ac:dyDescent="0.3">
      <c r="B40" s="7" t="s">
        <v>150</v>
      </c>
      <c r="C40" s="5" t="s">
        <v>15</v>
      </c>
      <c r="D40" s="5">
        <v>22</v>
      </c>
      <c r="E40" s="5" t="s">
        <v>13</v>
      </c>
      <c r="F40" s="6">
        <v>44384</v>
      </c>
      <c r="G40" s="5" t="s">
        <v>19</v>
      </c>
      <c r="H40" s="8">
        <v>112780</v>
      </c>
    </row>
    <row r="41" spans="2:8" x14ac:dyDescent="0.3">
      <c r="B41" s="7" t="s">
        <v>175</v>
      </c>
      <c r="C41" s="5" t="s">
        <v>8</v>
      </c>
      <c r="D41" s="5">
        <v>36</v>
      </c>
      <c r="E41" s="5" t="s">
        <v>16</v>
      </c>
      <c r="F41" s="6">
        <v>44023</v>
      </c>
      <c r="G41" s="5" t="s">
        <v>9</v>
      </c>
      <c r="H41" s="8">
        <v>114890</v>
      </c>
    </row>
    <row r="42" spans="2:8" x14ac:dyDescent="0.3">
      <c r="B42" s="7" t="s">
        <v>146</v>
      </c>
      <c r="C42" s="5" t="s">
        <v>15</v>
      </c>
      <c r="D42" s="5">
        <v>27</v>
      </c>
      <c r="E42" s="5" t="s">
        <v>16</v>
      </c>
      <c r="F42" s="6">
        <v>44506</v>
      </c>
      <c r="G42" s="5" t="s">
        <v>21</v>
      </c>
      <c r="H42" s="8">
        <v>48980</v>
      </c>
    </row>
    <row r="43" spans="2:8" x14ac:dyDescent="0.3">
      <c r="B43" s="7" t="s">
        <v>170</v>
      </c>
      <c r="C43" s="5" t="s">
        <v>15</v>
      </c>
      <c r="D43" s="5">
        <v>21</v>
      </c>
      <c r="E43" s="5" t="s">
        <v>16</v>
      </c>
      <c r="F43" s="6">
        <v>44180</v>
      </c>
      <c r="G43" s="5" t="s">
        <v>56</v>
      </c>
      <c r="H43" s="8">
        <v>75880</v>
      </c>
    </row>
    <row r="44" spans="2:8" x14ac:dyDescent="0.3">
      <c r="B44" s="7" t="s">
        <v>167</v>
      </c>
      <c r="C44" s="5" t="s">
        <v>8</v>
      </c>
      <c r="D44" s="5">
        <v>28</v>
      </c>
      <c r="E44" s="5" t="s">
        <v>16</v>
      </c>
      <c r="F44" s="6">
        <v>44296</v>
      </c>
      <c r="G44" s="5" t="s">
        <v>19</v>
      </c>
      <c r="H44" s="8">
        <v>53240</v>
      </c>
    </row>
    <row r="45" spans="2:8" x14ac:dyDescent="0.3">
      <c r="B45" s="7" t="s">
        <v>122</v>
      </c>
      <c r="C45" s="5" t="s">
        <v>8</v>
      </c>
      <c r="D45" s="5">
        <v>34</v>
      </c>
      <c r="E45" s="5" t="s">
        <v>16</v>
      </c>
      <c r="F45" s="6">
        <v>44397</v>
      </c>
      <c r="G45" s="5" t="s">
        <v>21</v>
      </c>
      <c r="H45" s="8">
        <v>85000</v>
      </c>
    </row>
    <row r="46" spans="2:8" x14ac:dyDescent="0.3">
      <c r="B46" s="7" t="s">
        <v>179</v>
      </c>
      <c r="C46" s="5" t="s">
        <v>8</v>
      </c>
      <c r="D46" s="5">
        <v>21</v>
      </c>
      <c r="E46" s="5" t="s">
        <v>16</v>
      </c>
      <c r="F46" s="6">
        <v>44619</v>
      </c>
      <c r="G46" s="5" t="s">
        <v>12</v>
      </c>
      <c r="H46" s="8">
        <v>33920</v>
      </c>
    </row>
    <row r="47" spans="2:8" x14ac:dyDescent="0.3">
      <c r="B47" s="7" t="s">
        <v>188</v>
      </c>
      <c r="C47" s="5" t="s">
        <v>8</v>
      </c>
      <c r="D47" s="5">
        <v>33</v>
      </c>
      <c r="E47" s="5" t="s">
        <v>16</v>
      </c>
      <c r="F47" s="6">
        <v>44253</v>
      </c>
      <c r="G47" s="5" t="s">
        <v>12</v>
      </c>
      <c r="H47" s="8">
        <v>75280</v>
      </c>
    </row>
    <row r="48" spans="2:8" x14ac:dyDescent="0.3">
      <c r="B48" s="7" t="s">
        <v>130</v>
      </c>
      <c r="C48" s="5" t="s">
        <v>8</v>
      </c>
      <c r="D48" s="5">
        <v>34</v>
      </c>
      <c r="E48" s="5" t="s">
        <v>16</v>
      </c>
      <c r="F48" s="6">
        <v>44594</v>
      </c>
      <c r="G48" s="5" t="s">
        <v>21</v>
      </c>
      <c r="H48" s="8">
        <v>58940</v>
      </c>
    </row>
    <row r="49" spans="2:8" x14ac:dyDescent="0.3">
      <c r="B49" s="7" t="s">
        <v>136</v>
      </c>
      <c r="C49" s="5" t="s">
        <v>8</v>
      </c>
      <c r="D49" s="5">
        <v>28</v>
      </c>
      <c r="E49" s="5" t="s">
        <v>16</v>
      </c>
      <c r="F49" s="6">
        <v>44425</v>
      </c>
      <c r="G49" s="5" t="s">
        <v>9</v>
      </c>
      <c r="H49" s="8">
        <v>104770</v>
      </c>
    </row>
    <row r="50" spans="2:8" x14ac:dyDescent="0.3">
      <c r="B50" s="7" t="s">
        <v>125</v>
      </c>
      <c r="C50" s="5" t="s">
        <v>15</v>
      </c>
      <c r="D50" s="5">
        <v>21</v>
      </c>
      <c r="E50" s="5" t="s">
        <v>16</v>
      </c>
      <c r="F50" s="6">
        <v>44701</v>
      </c>
      <c r="G50" s="5" t="s">
        <v>9</v>
      </c>
      <c r="H50" s="8">
        <v>57090</v>
      </c>
    </row>
    <row r="51" spans="2:8" x14ac:dyDescent="0.3">
      <c r="B51" s="7" t="s">
        <v>160</v>
      </c>
      <c r="C51" s="5" t="s">
        <v>15</v>
      </c>
      <c r="D51" s="5">
        <v>27</v>
      </c>
      <c r="E51" s="5" t="s">
        <v>13</v>
      </c>
      <c r="F51" s="6">
        <v>44174</v>
      </c>
      <c r="G51" s="5" t="s">
        <v>21</v>
      </c>
      <c r="H51" s="8">
        <v>91650</v>
      </c>
    </row>
    <row r="52" spans="2:8" x14ac:dyDescent="0.3">
      <c r="B52" s="7" t="s">
        <v>183</v>
      </c>
      <c r="C52" s="5" t="s">
        <v>15</v>
      </c>
      <c r="D52" s="5">
        <v>42</v>
      </c>
      <c r="E52" s="5" t="s">
        <v>24</v>
      </c>
      <c r="F52" s="6">
        <v>44670</v>
      </c>
      <c r="G52" s="5" t="s">
        <v>21</v>
      </c>
      <c r="H52" s="8">
        <v>70270</v>
      </c>
    </row>
    <row r="53" spans="2:8" x14ac:dyDescent="0.3">
      <c r="B53" s="7" t="s">
        <v>129</v>
      </c>
      <c r="C53" s="5" t="s">
        <v>8</v>
      </c>
      <c r="D53" s="5">
        <v>28</v>
      </c>
      <c r="E53" s="5" t="s">
        <v>16</v>
      </c>
      <c r="F53" s="6">
        <v>44124</v>
      </c>
      <c r="G53" s="5" t="s">
        <v>21</v>
      </c>
      <c r="H53" s="8">
        <v>75970</v>
      </c>
    </row>
    <row r="54" spans="2:8" x14ac:dyDescent="0.3">
      <c r="B54" s="7" t="s">
        <v>112</v>
      </c>
      <c r="C54" s="5"/>
      <c r="D54" s="5">
        <v>27</v>
      </c>
      <c r="E54" s="5" t="s">
        <v>13</v>
      </c>
      <c r="F54" s="6">
        <v>44212</v>
      </c>
      <c r="G54" s="5" t="s">
        <v>12</v>
      </c>
      <c r="H54" s="8">
        <v>90700</v>
      </c>
    </row>
    <row r="55" spans="2:8" x14ac:dyDescent="0.3">
      <c r="B55" s="7" t="s">
        <v>131</v>
      </c>
      <c r="C55" s="5" t="s">
        <v>15</v>
      </c>
      <c r="D55" s="5">
        <v>30</v>
      </c>
      <c r="E55" s="5" t="s">
        <v>16</v>
      </c>
      <c r="F55" s="6">
        <v>44607</v>
      </c>
      <c r="G55" s="5" t="s">
        <v>9</v>
      </c>
      <c r="H55" s="8">
        <v>60570</v>
      </c>
    </row>
    <row r="56" spans="2:8" x14ac:dyDescent="0.3">
      <c r="B56" s="7" t="s">
        <v>134</v>
      </c>
      <c r="C56" s="5" t="s">
        <v>15</v>
      </c>
      <c r="D56" s="5">
        <v>33</v>
      </c>
      <c r="E56" s="5" t="s">
        <v>16</v>
      </c>
      <c r="F56" s="6">
        <v>44103</v>
      </c>
      <c r="G56" s="5" t="s">
        <v>9</v>
      </c>
      <c r="H56" s="8">
        <v>115920</v>
      </c>
    </row>
    <row r="57" spans="2:8" x14ac:dyDescent="0.3">
      <c r="B57" s="7" t="s">
        <v>186</v>
      </c>
      <c r="C57" s="5" t="s">
        <v>8</v>
      </c>
      <c r="D57" s="5">
        <v>33</v>
      </c>
      <c r="E57" s="5" t="s">
        <v>16</v>
      </c>
      <c r="F57" s="6">
        <v>44006</v>
      </c>
      <c r="G57" s="5" t="s">
        <v>21</v>
      </c>
      <c r="H57" s="8">
        <v>65360</v>
      </c>
    </row>
    <row r="58" spans="2:8" x14ac:dyDescent="0.3">
      <c r="B58" s="7" t="s">
        <v>116</v>
      </c>
      <c r="C58" s="5"/>
      <c r="D58" s="5">
        <v>30</v>
      </c>
      <c r="E58" s="5" t="s">
        <v>16</v>
      </c>
      <c r="F58" s="6">
        <v>44535</v>
      </c>
      <c r="G58" s="5" t="s">
        <v>21</v>
      </c>
      <c r="H58" s="8">
        <v>64000</v>
      </c>
    </row>
    <row r="59" spans="2:8" x14ac:dyDescent="0.3">
      <c r="B59" s="7" t="s">
        <v>195</v>
      </c>
      <c r="C59" s="5" t="s">
        <v>8</v>
      </c>
      <c r="D59" s="5">
        <v>34</v>
      </c>
      <c r="E59" s="5" t="s">
        <v>16</v>
      </c>
      <c r="F59" s="6">
        <v>44383</v>
      </c>
      <c r="G59" s="5" t="s">
        <v>21</v>
      </c>
      <c r="H59" s="8">
        <v>92450</v>
      </c>
    </row>
    <row r="60" spans="2:8" x14ac:dyDescent="0.3">
      <c r="B60" s="7" t="s">
        <v>113</v>
      </c>
      <c r="C60" s="5" t="s">
        <v>15</v>
      </c>
      <c r="D60" s="5">
        <v>31</v>
      </c>
      <c r="E60" s="5" t="s">
        <v>16</v>
      </c>
      <c r="F60" s="6">
        <v>44450</v>
      </c>
      <c r="G60" s="5" t="s">
        <v>12</v>
      </c>
      <c r="H60" s="8">
        <v>48950</v>
      </c>
    </row>
    <row r="61" spans="2:8" x14ac:dyDescent="0.3">
      <c r="B61" s="7" t="s">
        <v>185</v>
      </c>
      <c r="C61" s="5" t="s">
        <v>8</v>
      </c>
      <c r="D61" s="5">
        <v>27</v>
      </c>
      <c r="E61" s="5" t="s">
        <v>16</v>
      </c>
      <c r="F61" s="6">
        <v>44625</v>
      </c>
      <c r="G61" s="5" t="s">
        <v>12</v>
      </c>
      <c r="H61" s="8">
        <v>83750</v>
      </c>
    </row>
    <row r="62" spans="2:8" x14ac:dyDescent="0.3">
      <c r="B62" s="7" t="s">
        <v>166</v>
      </c>
      <c r="C62" s="5" t="s">
        <v>8</v>
      </c>
      <c r="D62" s="5">
        <v>40</v>
      </c>
      <c r="E62" s="5" t="s">
        <v>16</v>
      </c>
      <c r="F62" s="6">
        <v>44276</v>
      </c>
      <c r="G62" s="5" t="s">
        <v>12</v>
      </c>
      <c r="H62" s="8">
        <v>87620</v>
      </c>
    </row>
    <row r="63" spans="2:8" x14ac:dyDescent="0.3">
      <c r="B63" s="7" t="s">
        <v>184</v>
      </c>
      <c r="C63" s="5" t="s">
        <v>8</v>
      </c>
      <c r="D63" s="5">
        <v>20</v>
      </c>
      <c r="E63" s="5" t="s">
        <v>24</v>
      </c>
      <c r="F63" s="6">
        <v>44476</v>
      </c>
      <c r="G63" s="5" t="s">
        <v>19</v>
      </c>
      <c r="H63" s="8">
        <v>68900</v>
      </c>
    </row>
    <row r="64" spans="2:8" x14ac:dyDescent="0.3">
      <c r="B64" s="7" t="s">
        <v>157</v>
      </c>
      <c r="C64" s="5" t="s">
        <v>15</v>
      </c>
      <c r="D64" s="5">
        <v>32</v>
      </c>
      <c r="E64" s="5" t="s">
        <v>16</v>
      </c>
      <c r="F64" s="6">
        <v>44403</v>
      </c>
      <c r="G64" s="5" t="s">
        <v>19</v>
      </c>
      <c r="H64" s="8">
        <v>53540</v>
      </c>
    </row>
    <row r="65" spans="2:8" x14ac:dyDescent="0.3">
      <c r="B65" s="7" t="s">
        <v>172</v>
      </c>
      <c r="C65" s="5" t="s">
        <v>15</v>
      </c>
      <c r="D65" s="5">
        <v>28</v>
      </c>
      <c r="E65" s="5" t="s">
        <v>42</v>
      </c>
      <c r="F65" s="6">
        <v>44758</v>
      </c>
      <c r="G65" s="5" t="s">
        <v>19</v>
      </c>
      <c r="H65" s="8">
        <v>43510</v>
      </c>
    </row>
    <row r="66" spans="2:8" x14ac:dyDescent="0.3">
      <c r="B66" s="7" t="s">
        <v>127</v>
      </c>
      <c r="C66" s="5" t="s">
        <v>8</v>
      </c>
      <c r="D66" s="5">
        <v>38</v>
      </c>
      <c r="E66" s="5" t="s">
        <v>10</v>
      </c>
      <c r="F66" s="6">
        <v>44316</v>
      </c>
      <c r="G66" s="5" t="s">
        <v>19</v>
      </c>
      <c r="H66" s="8">
        <v>109160</v>
      </c>
    </row>
    <row r="67" spans="2:8" x14ac:dyDescent="0.3">
      <c r="B67" s="7" t="s">
        <v>198</v>
      </c>
      <c r="C67" s="5" t="s">
        <v>15</v>
      </c>
      <c r="D67" s="5">
        <v>40</v>
      </c>
      <c r="E67" s="5" t="s">
        <v>16</v>
      </c>
      <c r="F67" s="6">
        <v>44204</v>
      </c>
      <c r="G67" s="5" t="s">
        <v>9</v>
      </c>
      <c r="H67" s="8">
        <v>99750</v>
      </c>
    </row>
    <row r="68" spans="2:8" x14ac:dyDescent="0.3">
      <c r="B68" s="7" t="s">
        <v>124</v>
      </c>
      <c r="C68" s="5" t="s">
        <v>8</v>
      </c>
      <c r="D68" s="5">
        <v>31</v>
      </c>
      <c r="E68" s="5" t="s">
        <v>16</v>
      </c>
      <c r="F68" s="6">
        <v>44084</v>
      </c>
      <c r="G68" s="5" t="s">
        <v>12</v>
      </c>
      <c r="H68" s="8">
        <v>41980</v>
      </c>
    </row>
    <row r="69" spans="2:8" x14ac:dyDescent="0.3">
      <c r="B69" s="7" t="s">
        <v>187</v>
      </c>
      <c r="C69" s="5" t="s">
        <v>15</v>
      </c>
      <c r="D69" s="5">
        <v>36</v>
      </c>
      <c r="E69" s="5" t="s">
        <v>16</v>
      </c>
      <c r="F69" s="6">
        <v>44272</v>
      </c>
      <c r="G69" s="5" t="s">
        <v>21</v>
      </c>
      <c r="H69" s="8">
        <v>71380</v>
      </c>
    </row>
    <row r="70" spans="2:8" x14ac:dyDescent="0.3">
      <c r="B70" s="7" t="s">
        <v>191</v>
      </c>
      <c r="C70" s="5" t="s">
        <v>15</v>
      </c>
      <c r="D70" s="5">
        <v>27</v>
      </c>
      <c r="E70" s="5" t="s">
        <v>42</v>
      </c>
      <c r="F70" s="6">
        <v>44547</v>
      </c>
      <c r="G70" s="5" t="s">
        <v>9</v>
      </c>
      <c r="H70" s="8">
        <v>113280</v>
      </c>
    </row>
    <row r="71" spans="2:8" x14ac:dyDescent="0.3">
      <c r="B71" s="7" t="s">
        <v>181</v>
      </c>
      <c r="C71" s="5" t="s">
        <v>8</v>
      </c>
      <c r="D71" s="5">
        <v>33</v>
      </c>
      <c r="E71" s="5" t="s">
        <v>16</v>
      </c>
      <c r="F71" s="6">
        <v>44747</v>
      </c>
      <c r="G71" s="5" t="s">
        <v>21</v>
      </c>
      <c r="H71" s="8">
        <v>86570</v>
      </c>
    </row>
    <row r="72" spans="2:8" x14ac:dyDescent="0.3">
      <c r="B72" s="7" t="s">
        <v>139</v>
      </c>
      <c r="C72" s="5" t="s">
        <v>15</v>
      </c>
      <c r="D72" s="5">
        <v>26</v>
      </c>
      <c r="E72" s="5" t="s">
        <v>16</v>
      </c>
      <c r="F72" s="6">
        <v>44350</v>
      </c>
      <c r="G72" s="5" t="s">
        <v>9</v>
      </c>
      <c r="H72" s="8">
        <v>53540</v>
      </c>
    </row>
    <row r="73" spans="2:8" x14ac:dyDescent="0.3">
      <c r="B73" s="7" t="s">
        <v>190</v>
      </c>
      <c r="C73" s="5" t="s">
        <v>15</v>
      </c>
      <c r="D73" s="5">
        <v>37</v>
      </c>
      <c r="E73" s="5" t="s">
        <v>16</v>
      </c>
      <c r="F73" s="6">
        <v>44640</v>
      </c>
      <c r="G73" s="5" t="s">
        <v>12</v>
      </c>
      <c r="H73" s="8">
        <v>69070</v>
      </c>
    </row>
    <row r="74" spans="2:8" x14ac:dyDescent="0.3">
      <c r="B74" s="7" t="s">
        <v>121</v>
      </c>
      <c r="C74" s="5" t="s">
        <v>8</v>
      </c>
      <c r="D74" s="5">
        <v>30</v>
      </c>
      <c r="E74" s="5" t="s">
        <v>24</v>
      </c>
      <c r="F74" s="6">
        <v>44328</v>
      </c>
      <c r="G74" s="5" t="s">
        <v>21</v>
      </c>
      <c r="H74" s="8">
        <v>67910</v>
      </c>
    </row>
    <row r="75" spans="2:8" x14ac:dyDescent="0.3">
      <c r="B75" s="7" t="s">
        <v>119</v>
      </c>
      <c r="C75" s="5" t="s">
        <v>15</v>
      </c>
      <c r="D75" s="5">
        <v>30</v>
      </c>
      <c r="E75" s="5" t="s">
        <v>16</v>
      </c>
      <c r="F75" s="6">
        <v>44214</v>
      </c>
      <c r="G75" s="5" t="s">
        <v>12</v>
      </c>
      <c r="H75" s="8">
        <v>69120</v>
      </c>
    </row>
    <row r="76" spans="2:8" x14ac:dyDescent="0.3">
      <c r="B76" s="7" t="s">
        <v>132</v>
      </c>
      <c r="C76" s="5" t="s">
        <v>8</v>
      </c>
      <c r="D76" s="5">
        <v>34</v>
      </c>
      <c r="E76" s="5" t="s">
        <v>16</v>
      </c>
      <c r="F76" s="6">
        <v>44550</v>
      </c>
      <c r="G76" s="5" t="s">
        <v>21</v>
      </c>
      <c r="H76" s="8">
        <v>60130</v>
      </c>
    </row>
    <row r="77" spans="2:8" x14ac:dyDescent="0.3">
      <c r="B77" s="7" t="s">
        <v>161</v>
      </c>
      <c r="C77" s="5" t="s">
        <v>15</v>
      </c>
      <c r="D77" s="5">
        <v>23</v>
      </c>
      <c r="E77" s="5" t="s">
        <v>16</v>
      </c>
      <c r="F77" s="6">
        <v>44378</v>
      </c>
      <c r="G77" s="5" t="s">
        <v>9</v>
      </c>
      <c r="H77" s="8">
        <v>106460</v>
      </c>
    </row>
    <row r="78" spans="2:8" x14ac:dyDescent="0.3">
      <c r="B78" s="7" t="s">
        <v>148</v>
      </c>
      <c r="C78" s="5" t="s">
        <v>8</v>
      </c>
      <c r="D78" s="5">
        <v>37</v>
      </c>
      <c r="E78" s="5" t="s">
        <v>16</v>
      </c>
      <c r="F78" s="6">
        <v>44389</v>
      </c>
      <c r="G78" s="5" t="s">
        <v>56</v>
      </c>
      <c r="H78" s="8">
        <v>118100</v>
      </c>
    </row>
    <row r="79" spans="2:8" x14ac:dyDescent="0.3">
      <c r="B79" s="7" t="s">
        <v>164</v>
      </c>
      <c r="C79" s="5" t="s">
        <v>8</v>
      </c>
      <c r="D79" s="5">
        <v>36</v>
      </c>
      <c r="E79" s="5" t="s">
        <v>16</v>
      </c>
      <c r="F79" s="6">
        <v>44468</v>
      </c>
      <c r="G79" s="5" t="s">
        <v>9</v>
      </c>
      <c r="H79" s="8">
        <v>78390</v>
      </c>
    </row>
    <row r="80" spans="2:8" x14ac:dyDescent="0.3">
      <c r="B80" s="7" t="s">
        <v>147</v>
      </c>
      <c r="C80" s="5" t="s">
        <v>8</v>
      </c>
      <c r="D80" s="5">
        <v>30</v>
      </c>
      <c r="E80" s="5" t="s">
        <v>16</v>
      </c>
      <c r="F80" s="6">
        <v>44789</v>
      </c>
      <c r="G80" s="5" t="s">
        <v>9</v>
      </c>
      <c r="H80" s="8">
        <v>114180</v>
      </c>
    </row>
    <row r="81" spans="2:8" x14ac:dyDescent="0.3">
      <c r="B81" s="7" t="s">
        <v>189</v>
      </c>
      <c r="C81" s="5" t="s">
        <v>8</v>
      </c>
      <c r="D81" s="5">
        <v>28</v>
      </c>
      <c r="E81" s="5" t="s">
        <v>16</v>
      </c>
      <c r="F81" s="6">
        <v>44590</v>
      </c>
      <c r="G81" s="5" t="s">
        <v>9</v>
      </c>
      <c r="H81" s="8">
        <v>104120</v>
      </c>
    </row>
    <row r="82" spans="2:8" x14ac:dyDescent="0.3">
      <c r="B82" s="7" t="s">
        <v>138</v>
      </c>
      <c r="C82" s="5" t="s">
        <v>15</v>
      </c>
      <c r="D82" s="5">
        <v>30</v>
      </c>
      <c r="E82" s="5" t="s">
        <v>16</v>
      </c>
      <c r="F82" s="6">
        <v>44640</v>
      </c>
      <c r="G82" s="5" t="s">
        <v>9</v>
      </c>
      <c r="H82" s="8">
        <v>67950</v>
      </c>
    </row>
    <row r="83" spans="2:8" x14ac:dyDescent="0.3">
      <c r="B83" s="7" t="s">
        <v>137</v>
      </c>
      <c r="C83" s="5" t="s">
        <v>8</v>
      </c>
      <c r="D83" s="5">
        <v>29</v>
      </c>
      <c r="E83" s="5" t="s">
        <v>16</v>
      </c>
      <c r="F83" s="6">
        <v>43962</v>
      </c>
      <c r="G83" s="5" t="s">
        <v>12</v>
      </c>
      <c r="H83" s="8">
        <v>34980</v>
      </c>
    </row>
    <row r="84" spans="2:8" x14ac:dyDescent="0.3">
      <c r="B84" s="7" t="s">
        <v>153</v>
      </c>
      <c r="C84" s="5" t="s">
        <v>8</v>
      </c>
      <c r="D84" s="5">
        <v>24</v>
      </c>
      <c r="E84" s="5" t="s">
        <v>16</v>
      </c>
      <c r="F84" s="6">
        <v>44087</v>
      </c>
      <c r="G84" s="5" t="s">
        <v>12</v>
      </c>
      <c r="H84" s="8">
        <v>62780</v>
      </c>
    </row>
    <row r="85" spans="2:8" x14ac:dyDescent="0.3">
      <c r="B85" s="7" t="s">
        <v>117</v>
      </c>
      <c r="C85" s="5" t="s">
        <v>15</v>
      </c>
      <c r="D85" s="5">
        <v>20</v>
      </c>
      <c r="E85" s="5" t="s">
        <v>16</v>
      </c>
      <c r="F85" s="6">
        <v>44397</v>
      </c>
      <c r="G85" s="5" t="s">
        <v>12</v>
      </c>
      <c r="H85" s="8">
        <v>107700</v>
      </c>
    </row>
    <row r="86" spans="2:8" x14ac:dyDescent="0.3">
      <c r="B86" s="7" t="s">
        <v>168</v>
      </c>
      <c r="C86" s="5" t="s">
        <v>15</v>
      </c>
      <c r="D86" s="5">
        <v>25</v>
      </c>
      <c r="E86" s="5" t="s">
        <v>16</v>
      </c>
      <c r="F86" s="6">
        <v>44322</v>
      </c>
      <c r="G86" s="5" t="s">
        <v>19</v>
      </c>
      <c r="H86" s="8">
        <v>65700</v>
      </c>
    </row>
    <row r="87" spans="2:8" x14ac:dyDescent="0.3">
      <c r="B87" s="7" t="s">
        <v>135</v>
      </c>
      <c r="C87" s="5" t="s">
        <v>8</v>
      </c>
      <c r="D87" s="5">
        <v>33</v>
      </c>
      <c r="E87" s="5" t="s">
        <v>42</v>
      </c>
      <c r="F87" s="6">
        <v>44313</v>
      </c>
      <c r="G87" s="5" t="s">
        <v>12</v>
      </c>
      <c r="H87" s="8">
        <v>75480</v>
      </c>
    </row>
    <row r="88" spans="2:8" x14ac:dyDescent="0.3">
      <c r="B88" s="7" t="s">
        <v>174</v>
      </c>
      <c r="C88" s="5" t="s">
        <v>15</v>
      </c>
      <c r="D88" s="5">
        <v>33</v>
      </c>
      <c r="E88" s="5" t="s">
        <v>16</v>
      </c>
      <c r="F88" s="6">
        <v>44448</v>
      </c>
      <c r="G88" s="5" t="s">
        <v>12</v>
      </c>
      <c r="H88" s="8">
        <v>53870</v>
      </c>
    </row>
    <row r="89" spans="2:8" x14ac:dyDescent="0.3">
      <c r="B89" s="7" t="s">
        <v>141</v>
      </c>
      <c r="C89" s="5" t="s">
        <v>8</v>
      </c>
      <c r="D89" s="5">
        <v>36</v>
      </c>
      <c r="E89" s="5" t="s">
        <v>16</v>
      </c>
      <c r="F89" s="6">
        <v>44433</v>
      </c>
      <c r="G89" s="5" t="s">
        <v>19</v>
      </c>
      <c r="H89" s="8">
        <v>78540</v>
      </c>
    </row>
    <row r="90" spans="2:8" x14ac:dyDescent="0.3">
      <c r="B90" s="7" t="s">
        <v>193</v>
      </c>
      <c r="C90" s="5" t="s">
        <v>15</v>
      </c>
      <c r="D90" s="5">
        <v>19</v>
      </c>
      <c r="E90" s="5" t="s">
        <v>16</v>
      </c>
      <c r="F90" s="6">
        <v>44218</v>
      </c>
      <c r="G90" s="5" t="s">
        <v>9</v>
      </c>
      <c r="H90" s="8">
        <v>58960</v>
      </c>
    </row>
    <row r="91" spans="2:8" x14ac:dyDescent="0.3">
      <c r="B91" s="7" t="s">
        <v>162</v>
      </c>
      <c r="C91" s="5" t="s">
        <v>15</v>
      </c>
      <c r="D91" s="5">
        <v>46</v>
      </c>
      <c r="E91" s="5" t="s">
        <v>16</v>
      </c>
      <c r="F91" s="6">
        <v>44697</v>
      </c>
      <c r="G91" s="5" t="s">
        <v>9</v>
      </c>
      <c r="H91" s="8">
        <v>70610</v>
      </c>
    </row>
    <row r="92" spans="2:8" x14ac:dyDescent="0.3">
      <c r="B92" s="7" t="s">
        <v>171</v>
      </c>
      <c r="C92" s="5" t="s">
        <v>15</v>
      </c>
      <c r="D92" s="5">
        <v>33</v>
      </c>
      <c r="E92" s="5" t="s">
        <v>16</v>
      </c>
      <c r="F92" s="6">
        <v>44181</v>
      </c>
      <c r="G92" s="5" t="s">
        <v>21</v>
      </c>
      <c r="H92" s="8">
        <v>59430</v>
      </c>
    </row>
    <row r="93" spans="2:8" x14ac:dyDescent="0.3">
      <c r="B93" s="7" t="s">
        <v>144</v>
      </c>
      <c r="C93" s="5" t="s">
        <v>15</v>
      </c>
      <c r="D93" s="5">
        <v>33</v>
      </c>
      <c r="E93" s="5" t="s">
        <v>13</v>
      </c>
      <c r="F93" s="6">
        <v>44640</v>
      </c>
      <c r="G93" s="5" t="s">
        <v>9</v>
      </c>
      <c r="H93" s="8">
        <v>48530</v>
      </c>
    </row>
    <row r="94" spans="2:8" x14ac:dyDescent="0.3">
      <c r="B94" s="7" t="s">
        <v>163</v>
      </c>
      <c r="C94" s="5" t="s">
        <v>8</v>
      </c>
      <c r="D94" s="5">
        <v>33</v>
      </c>
      <c r="E94" s="5" t="s">
        <v>16</v>
      </c>
      <c r="F94" s="6">
        <v>44129</v>
      </c>
      <c r="G94" s="5" t="s">
        <v>12</v>
      </c>
      <c r="H94" s="8">
        <v>96140</v>
      </c>
    </row>
    <row r="95" spans="2:8" x14ac:dyDescent="0.3">
      <c r="B95" s="7" t="s">
        <v>156</v>
      </c>
      <c r="C95" s="5" t="s">
        <v>15</v>
      </c>
      <c r="D95" s="5">
        <v>20</v>
      </c>
      <c r="E95" s="5" t="s">
        <v>16</v>
      </c>
      <c r="F95" s="6">
        <v>44122</v>
      </c>
      <c r="G95" s="5" t="s">
        <v>12</v>
      </c>
      <c r="H95" s="8">
        <v>112650</v>
      </c>
    </row>
    <row r="96" spans="2:8" x14ac:dyDescent="0.3">
      <c r="B96" s="7" t="s">
        <v>176</v>
      </c>
      <c r="C96" s="5" t="s">
        <v>8</v>
      </c>
      <c r="D96" s="5">
        <v>32</v>
      </c>
      <c r="E96" s="5" t="s">
        <v>13</v>
      </c>
      <c r="F96" s="6">
        <v>44293</v>
      </c>
      <c r="G96" s="5" t="s">
        <v>12</v>
      </c>
      <c r="H96" s="8">
        <v>43840</v>
      </c>
    </row>
    <row r="97" spans="2:8" x14ac:dyDescent="0.3">
      <c r="B97" s="7" t="s">
        <v>143</v>
      </c>
      <c r="C97" s="5" t="s">
        <v>15</v>
      </c>
      <c r="D97" s="5">
        <v>31</v>
      </c>
      <c r="E97" s="5" t="s">
        <v>16</v>
      </c>
      <c r="F97" s="6">
        <v>44663</v>
      </c>
      <c r="G97" s="5" t="s">
        <v>9</v>
      </c>
      <c r="H97" s="8">
        <v>103550</v>
      </c>
    </row>
    <row r="98" spans="2:8" x14ac:dyDescent="0.3">
      <c r="B98" s="7" t="s">
        <v>201</v>
      </c>
      <c r="C98" s="5" t="s">
        <v>8</v>
      </c>
      <c r="D98" s="5">
        <v>32</v>
      </c>
      <c r="E98" s="5" t="s">
        <v>16</v>
      </c>
      <c r="F98" s="6">
        <v>44339</v>
      </c>
      <c r="G98" s="5" t="s">
        <v>56</v>
      </c>
      <c r="H98" s="8">
        <v>45510</v>
      </c>
    </row>
    <row r="99" spans="2:8" x14ac:dyDescent="0.3">
      <c r="B99" s="7" t="s">
        <v>142</v>
      </c>
      <c r="C99" s="5"/>
      <c r="D99" s="5">
        <v>37</v>
      </c>
      <c r="E99" s="5" t="s">
        <v>24</v>
      </c>
      <c r="F99" s="6">
        <v>44085</v>
      </c>
      <c r="G99" s="5" t="s">
        <v>21</v>
      </c>
      <c r="H99" s="8">
        <v>115440</v>
      </c>
    </row>
    <row r="100" spans="2:8" x14ac:dyDescent="0.3">
      <c r="B100" s="7" t="s">
        <v>202</v>
      </c>
      <c r="C100" s="5" t="s">
        <v>8</v>
      </c>
      <c r="D100" s="5">
        <v>38</v>
      </c>
      <c r="E100" s="5" t="s">
        <v>13</v>
      </c>
      <c r="F100" s="6">
        <v>44268</v>
      </c>
      <c r="G100" s="5" t="s">
        <v>19</v>
      </c>
      <c r="H100" s="8">
        <v>56870</v>
      </c>
    </row>
    <row r="101" spans="2:8" x14ac:dyDescent="0.3">
      <c r="B101" s="7" t="s">
        <v>169</v>
      </c>
      <c r="C101" s="5" t="s">
        <v>8</v>
      </c>
      <c r="D101" s="5">
        <v>25</v>
      </c>
      <c r="E101" s="5" t="s">
        <v>16</v>
      </c>
      <c r="F101" s="6">
        <v>44144</v>
      </c>
      <c r="G101" s="5" t="s">
        <v>19</v>
      </c>
      <c r="H101" s="8">
        <v>92700</v>
      </c>
    </row>
    <row r="102" spans="2:8" x14ac:dyDescent="0.3">
      <c r="B102" s="7" t="s">
        <v>145</v>
      </c>
      <c r="C102" s="5"/>
      <c r="D102" s="5">
        <v>32</v>
      </c>
      <c r="E102" s="5" t="s">
        <v>16</v>
      </c>
      <c r="F102" s="6">
        <v>44713</v>
      </c>
      <c r="G102" s="5" t="s">
        <v>12</v>
      </c>
      <c r="H102" s="8">
        <v>91310</v>
      </c>
    </row>
    <row r="103" spans="2:8" x14ac:dyDescent="0.3">
      <c r="B103" s="7" t="s">
        <v>115</v>
      </c>
      <c r="C103" s="5" t="s">
        <v>15</v>
      </c>
      <c r="D103" s="5">
        <v>33</v>
      </c>
      <c r="E103" s="5" t="s">
        <v>16</v>
      </c>
      <c r="F103" s="6">
        <v>44324</v>
      </c>
      <c r="G103" s="5" t="s">
        <v>19</v>
      </c>
      <c r="H103" s="8">
        <v>74550</v>
      </c>
    </row>
    <row r="104" spans="2:8" x14ac:dyDescent="0.3">
      <c r="B104" s="7" t="s">
        <v>128</v>
      </c>
      <c r="C104" s="5" t="s">
        <v>15</v>
      </c>
      <c r="D104" s="5">
        <v>25</v>
      </c>
      <c r="E104" s="5" t="s">
        <v>13</v>
      </c>
      <c r="F104" s="6">
        <v>44665</v>
      </c>
      <c r="G104" s="5" t="s">
        <v>9</v>
      </c>
      <c r="H104" s="8">
        <v>109190</v>
      </c>
    </row>
    <row r="105" spans="2:8" x14ac:dyDescent="0.3">
      <c r="B105" s="7" t="s">
        <v>194</v>
      </c>
      <c r="C105" s="5" t="s">
        <v>8</v>
      </c>
      <c r="D105" s="5">
        <v>40</v>
      </c>
      <c r="E105" s="5" t="s">
        <v>16</v>
      </c>
      <c r="F105" s="6">
        <v>44320</v>
      </c>
      <c r="G105" s="5" t="s">
        <v>12</v>
      </c>
      <c r="H105" s="8">
        <v>104410</v>
      </c>
    </row>
    <row r="106" spans="2:8" x14ac:dyDescent="0.3">
      <c r="B106" s="7" t="s">
        <v>177</v>
      </c>
      <c r="C106" s="5" t="s">
        <v>15</v>
      </c>
      <c r="D106" s="5">
        <v>30</v>
      </c>
      <c r="E106" s="5" t="s">
        <v>16</v>
      </c>
      <c r="F106" s="6">
        <v>44544</v>
      </c>
      <c r="G106" s="5" t="s">
        <v>21</v>
      </c>
      <c r="H106" s="8">
        <v>96800</v>
      </c>
    </row>
    <row r="107" spans="2:8" x14ac:dyDescent="0.3">
      <c r="B107" s="7" t="s">
        <v>123</v>
      </c>
      <c r="C107" s="5" t="s">
        <v>15</v>
      </c>
      <c r="D107" s="5">
        <v>28</v>
      </c>
      <c r="E107" s="5" t="s">
        <v>13</v>
      </c>
      <c r="F107" s="6">
        <v>43980</v>
      </c>
      <c r="G107" s="5" t="s">
        <v>21</v>
      </c>
      <c r="H107" s="8">
        <v>48170</v>
      </c>
    </row>
    <row r="108" spans="2:8" x14ac:dyDescent="0.3">
      <c r="B108" s="7" t="s">
        <v>140</v>
      </c>
      <c r="C108" s="5" t="s">
        <v>15</v>
      </c>
      <c r="D108" s="5">
        <v>21</v>
      </c>
      <c r="E108" s="5" t="s">
        <v>16</v>
      </c>
      <c r="F108" s="6">
        <v>44042</v>
      </c>
      <c r="G108" s="5" t="s">
        <v>9</v>
      </c>
      <c r="H108" s="8">
        <v>37920</v>
      </c>
    </row>
    <row r="109" spans="2:8" x14ac:dyDescent="0.3">
      <c r="B109" s="7" t="s">
        <v>178</v>
      </c>
      <c r="C109" s="5" t="s">
        <v>15</v>
      </c>
      <c r="D109" s="5">
        <v>34</v>
      </c>
      <c r="E109" s="5" t="s">
        <v>16</v>
      </c>
      <c r="F109" s="6">
        <v>44642</v>
      </c>
      <c r="G109" s="5" t="s">
        <v>9</v>
      </c>
      <c r="H109" s="8">
        <v>112650</v>
      </c>
    </row>
    <row r="110" spans="2:8" x14ac:dyDescent="0.3">
      <c r="B110" s="7" t="s">
        <v>165</v>
      </c>
      <c r="C110" s="5" t="s">
        <v>8</v>
      </c>
      <c r="D110" s="5">
        <v>34</v>
      </c>
      <c r="E110" s="5" t="s">
        <v>24</v>
      </c>
      <c r="F110" s="6">
        <v>44660</v>
      </c>
      <c r="G110" s="5" t="s">
        <v>19</v>
      </c>
      <c r="H110" s="8">
        <v>49630</v>
      </c>
    </row>
    <row r="111" spans="2:8" x14ac:dyDescent="0.3">
      <c r="B111" s="7" t="s">
        <v>199</v>
      </c>
      <c r="C111" s="5" t="s">
        <v>15</v>
      </c>
      <c r="D111" s="5">
        <v>36</v>
      </c>
      <c r="E111" s="5" t="s">
        <v>16</v>
      </c>
      <c r="F111" s="6">
        <v>43958</v>
      </c>
      <c r="G111" s="5" t="s">
        <v>12</v>
      </c>
      <c r="H111" s="8">
        <v>118840</v>
      </c>
    </row>
    <row r="112" spans="2:8" x14ac:dyDescent="0.3">
      <c r="B112" s="7" t="s">
        <v>159</v>
      </c>
      <c r="C112" s="5" t="s">
        <v>15</v>
      </c>
      <c r="D112" s="5">
        <v>30</v>
      </c>
      <c r="E112" s="5" t="s">
        <v>16</v>
      </c>
      <c r="F112" s="6">
        <v>44789</v>
      </c>
      <c r="G112" s="5" t="s">
        <v>12</v>
      </c>
      <c r="H112" s="8">
        <v>69710</v>
      </c>
    </row>
    <row r="113" spans="2:8" x14ac:dyDescent="0.3">
      <c r="B113" s="7" t="s">
        <v>197</v>
      </c>
      <c r="C113" s="5" t="s">
        <v>15</v>
      </c>
      <c r="D113" s="5">
        <v>20</v>
      </c>
      <c r="E113" s="5" t="s">
        <v>16</v>
      </c>
      <c r="F113" s="6">
        <v>44683</v>
      </c>
      <c r="G113" s="5" t="s">
        <v>9</v>
      </c>
      <c r="H113" s="8">
        <v>79570</v>
      </c>
    </row>
    <row r="114" spans="2:8" x14ac:dyDescent="0.3">
      <c r="B114" s="12" t="s">
        <v>154</v>
      </c>
      <c r="C114" s="13" t="s">
        <v>8</v>
      </c>
      <c r="D114" s="13">
        <v>22</v>
      </c>
      <c r="E114" s="13" t="s">
        <v>13</v>
      </c>
      <c r="F114" s="14">
        <v>44388</v>
      </c>
      <c r="G114" s="13" t="s">
        <v>9</v>
      </c>
      <c r="H114" s="15">
        <v>76900</v>
      </c>
    </row>
    <row r="115" spans="2:8" x14ac:dyDescent="0.3">
      <c r="B115" s="12" t="s">
        <v>203</v>
      </c>
      <c r="C115" s="13"/>
      <c r="D115" s="13"/>
      <c r="E115" s="13"/>
      <c r="F115" s="13"/>
      <c r="G115" s="13"/>
      <c r="H115" s="15">
        <f>SUBTOTAL(103,India_staff[Salary])</f>
        <v>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3515B7-2291-4EDE-AFE9-3C3DF1B561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Master_staff</vt:lpstr>
      <vt:lpstr>India_staff</vt:lpstr>
      <vt:lpstr>newzeland</vt:lpstr>
      <vt:lpstr>Data</vt:lpstr>
      <vt:lpstr>India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Sameer Hawal</cp:lastModifiedBy>
  <dcterms:created xsi:type="dcterms:W3CDTF">2021-03-14T20:21:32Z</dcterms:created>
  <dcterms:modified xsi:type="dcterms:W3CDTF">2026-01-01T09:06:34Z</dcterms:modified>
</cp:coreProperties>
</file>