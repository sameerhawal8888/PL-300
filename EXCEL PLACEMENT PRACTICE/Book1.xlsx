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LACEMENT PRACTICE\"/>
    </mc:Choice>
  </mc:AlternateContent>
  <xr:revisionPtr revIDLastSave="0" documentId="13_ncr:1_{58373A07-1E30-4D19-B2FF-4D06D8BF82BD}" xr6:coauthVersionLast="47" xr6:coauthVersionMax="47" xr10:uidLastSave="{00000000-0000-0000-0000-000000000000}"/>
  <bookViews>
    <workbookView xWindow="-110" yWindow="-110" windowWidth="19420" windowHeight="11020" xr2:uid="{0B9195BC-6E59-4BB3-A454-E7E9EEF1F041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Sheet1!$BB$63:$BD$69</definedName>
    <definedName name="_xlnm.Criteria" localSheetId="0">Sheet1!$BH$63:$BJ$64</definedName>
    <definedName name="_xlnm.Extract" localSheetId="0">Sheet1!$BH$67:$BJ$67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E11" i="1" l="1"/>
  <c r="AS57" i="1"/>
  <c r="AS58" i="1"/>
  <c r="AS59" i="1"/>
  <c r="AS60" i="1"/>
  <c r="AS62" i="1"/>
  <c r="AS63" i="1"/>
  <c r="AS64" i="1"/>
  <c r="AS65" i="1"/>
  <c r="AS67" i="1"/>
  <c r="AS56" i="1"/>
  <c r="AR57" i="1"/>
  <c r="AR58" i="1"/>
  <c r="AR59" i="1"/>
  <c r="AR60" i="1"/>
  <c r="AR61" i="1"/>
  <c r="AS61" i="1" s="1"/>
  <c r="AR62" i="1"/>
  <c r="AR63" i="1"/>
  <c r="AR64" i="1"/>
  <c r="AR65" i="1"/>
  <c r="AR66" i="1"/>
  <c r="AS66" i="1" s="1"/>
  <c r="AR67" i="1"/>
  <c r="AR56" i="1"/>
  <c r="AQ50" i="1"/>
  <c r="AR50" i="1" s="1"/>
  <c r="AQ49" i="1"/>
  <c r="AR49" i="1" s="1"/>
  <c r="AQ45" i="1"/>
  <c r="AU45" i="1"/>
  <c r="AU44" i="1"/>
  <c r="AV44" i="1" s="1"/>
  <c r="AR44" i="1"/>
  <c r="AQ44" i="1"/>
  <c r="AQ37" i="1"/>
  <c r="AS18" i="1" a="1"/>
  <c r="AS18" i="1" s="1"/>
  <c r="AN18" i="1"/>
  <c r="AN13" i="1"/>
  <c r="AG12" i="1"/>
  <c r="AG13" i="1"/>
  <c r="AG14" i="1"/>
  <c r="AG15" i="1"/>
  <c r="AH6" i="1"/>
  <c r="AH7" i="1"/>
  <c r="AH8" i="1"/>
  <c r="AH9" i="1"/>
  <c r="AH10" i="1"/>
  <c r="AH11" i="1"/>
  <c r="AH12" i="1"/>
  <c r="AH13" i="1"/>
  <c r="AH14" i="1"/>
  <c r="AG5" i="1" s="1"/>
  <c r="AH15" i="1"/>
  <c r="AG6" i="1" s="1"/>
  <c r="AH16" i="1"/>
  <c r="AG7" i="1" s="1"/>
  <c r="AH17" i="1"/>
  <c r="AG8" i="1" s="1"/>
  <c r="AH18" i="1"/>
  <c r="AG9" i="1" s="1"/>
  <c r="AH19" i="1"/>
  <c r="AG10" i="1" s="1"/>
  <c r="AH20" i="1"/>
  <c r="AD21" i="1" s="1"/>
  <c r="AH5" i="1"/>
  <c r="AH40" i="1"/>
  <c r="AH41" i="1"/>
  <c r="AH42" i="1"/>
  <c r="AH43" i="1"/>
  <c r="AH44" i="1"/>
  <c r="AH45" i="1"/>
  <c r="AH46" i="1"/>
  <c r="AH39" i="1"/>
  <c r="AG40" i="1"/>
  <c r="AG41" i="1"/>
  <c r="AG42" i="1"/>
  <c r="AG43" i="1"/>
  <c r="AG44" i="1"/>
  <c r="AG45" i="1"/>
  <c r="AG46" i="1"/>
  <c r="AG39" i="1"/>
  <c r="AI26" i="1"/>
  <c r="AI27" i="1"/>
  <c r="AI28" i="1"/>
  <c r="AI29" i="1"/>
  <c r="AI30" i="1"/>
  <c r="AI31" i="1"/>
  <c r="AI32" i="1"/>
  <c r="AI25" i="1"/>
  <c r="AH26" i="1"/>
  <c r="AG17" i="1" s="1"/>
  <c r="AH27" i="1"/>
  <c r="AG18" i="1" s="1"/>
  <c r="AH28" i="1"/>
  <c r="AG19" i="1" s="1"/>
  <c r="AH29" i="1"/>
  <c r="AG20" i="1" s="1"/>
  <c r="AH30" i="1"/>
  <c r="AH31" i="1"/>
  <c r="AH32" i="1"/>
  <c r="AH25" i="1"/>
  <c r="AG16" i="1" s="1"/>
  <c r="AA55" i="1"/>
  <c r="AA54" i="1"/>
  <c r="AA51" i="1"/>
  <c r="Z57" i="1"/>
  <c r="Z58" i="1"/>
  <c r="Z56" i="1"/>
  <c r="Z55" i="1"/>
  <c r="Z54" i="1"/>
  <c r="AA50" i="1"/>
  <c r="Z51" i="1"/>
  <c r="Z50" i="1"/>
  <c r="X55" i="1"/>
  <c r="X54" i="1"/>
  <c r="X53" i="1"/>
  <c r="X52" i="1"/>
  <c r="X51" i="1"/>
  <c r="X50" i="1"/>
  <c r="W55" i="1"/>
  <c r="W54" i="1"/>
  <c r="W53" i="1"/>
  <c r="W52" i="1"/>
  <c r="W51" i="1"/>
  <c r="W50" i="1"/>
  <c r="W42" i="1"/>
  <c r="W41" i="1"/>
  <c r="W40" i="1"/>
  <c r="W39" i="1"/>
  <c r="W38" i="1"/>
  <c r="W37" i="1"/>
  <c r="Q56" i="1"/>
  <c r="S50" i="1"/>
  <c r="S49" i="1"/>
  <c r="S48" i="1"/>
  <c r="S47" i="1"/>
  <c r="S46" i="1"/>
  <c r="R48" i="1"/>
  <c r="Q51" i="1"/>
  <c r="Q50" i="1"/>
  <c r="Q49" i="1"/>
  <c r="Q48" i="1"/>
  <c r="T39" i="1"/>
  <c r="T38" i="1"/>
  <c r="T37" i="1"/>
  <c r="T36" i="1"/>
  <c r="T35" i="1"/>
  <c r="S36" i="1"/>
  <c r="S35" i="1"/>
  <c r="R39" i="1"/>
  <c r="R38" i="1"/>
  <c r="R37" i="1"/>
  <c r="R36" i="1"/>
  <c r="R35" i="1"/>
  <c r="Q41" i="1"/>
  <c r="Q40" i="1"/>
  <c r="Q39" i="1"/>
  <c r="Q38" i="1"/>
  <c r="Q37" i="1"/>
  <c r="Q36" i="1"/>
  <c r="Q35" i="1"/>
  <c r="I55" i="1"/>
  <c r="I54" i="1"/>
  <c r="H55" i="1"/>
  <c r="H54" i="1"/>
  <c r="L51" i="1"/>
  <c r="L50" i="1"/>
  <c r="L49" i="1"/>
  <c r="K51" i="1"/>
  <c r="K50" i="1"/>
  <c r="K49" i="1"/>
  <c r="M47" i="1"/>
  <c r="L52" i="1" s="1"/>
  <c r="I49" i="1"/>
  <c r="H52" i="1"/>
  <c r="H51" i="1"/>
  <c r="H50" i="1"/>
  <c r="H49" i="1"/>
  <c r="M35" i="1"/>
  <c r="M39" i="1" s="1"/>
  <c r="L44" i="1"/>
  <c r="L43" i="1"/>
  <c r="J39" i="1"/>
  <c r="J38" i="1"/>
  <c r="J37" i="1"/>
  <c r="H40" i="1"/>
  <c r="H39" i="1"/>
  <c r="H38" i="1"/>
  <c r="H37" i="1"/>
  <c r="V21" i="1"/>
  <c r="AC9" i="1"/>
  <c r="AA9" i="1"/>
  <c r="Z13" i="1"/>
  <c r="Z12" i="1"/>
  <c r="Z11" i="1"/>
  <c r="Z10" i="1"/>
  <c r="Z9" i="1"/>
  <c r="AB10" i="1" s="1"/>
  <c r="Y10" i="1"/>
  <c r="Y9" i="1"/>
  <c r="X11" i="1"/>
  <c r="X10" i="1"/>
  <c r="X9" i="1"/>
  <c r="W12" i="1"/>
  <c r="W10" i="1"/>
  <c r="W11" i="1"/>
  <c r="W9" i="1"/>
  <c r="V12" i="1"/>
  <c r="V11" i="1"/>
  <c r="V10" i="1"/>
  <c r="V9" i="1"/>
  <c r="L20" i="1"/>
  <c r="L19" i="1"/>
  <c r="K25" i="1"/>
  <c r="K24" i="1"/>
  <c r="K21" i="1"/>
  <c r="K20" i="1"/>
  <c r="K19" i="1"/>
  <c r="J25" i="1"/>
  <c r="J24" i="1"/>
  <c r="I25" i="1"/>
  <c r="I24" i="1"/>
  <c r="H26" i="1"/>
  <c r="H24" i="1"/>
  <c r="H25" i="1"/>
  <c r="J20" i="1"/>
  <c r="J19" i="1"/>
  <c r="I21" i="1"/>
  <c r="I20" i="1"/>
  <c r="I19" i="1"/>
  <c r="H20" i="1"/>
  <c r="H19" i="1"/>
  <c r="E18" i="1"/>
  <c r="C33" i="1"/>
  <c r="C32" i="1"/>
  <c r="B40" i="1"/>
  <c r="B41" i="1"/>
  <c r="B42" i="1"/>
  <c r="B33" i="1"/>
  <c r="C35" i="1" s="1"/>
  <c r="B34" i="1"/>
  <c r="C36" i="1" s="1"/>
  <c r="B35" i="1"/>
  <c r="C37" i="1" s="1"/>
  <c r="B36" i="1"/>
  <c r="C38" i="1" s="1"/>
  <c r="B37" i="1"/>
  <c r="C39" i="1" s="1"/>
  <c r="B38" i="1"/>
  <c r="C40" i="1" s="1"/>
  <c r="B39" i="1"/>
  <c r="C41" i="1" s="1"/>
  <c r="B32" i="1"/>
  <c r="C34" i="1" s="1"/>
  <c r="H6" i="1"/>
  <c r="E3" i="1"/>
  <c r="E4" i="1"/>
  <c r="E5" i="1"/>
  <c r="E6" i="1"/>
  <c r="E7" i="1"/>
  <c r="E8" i="1"/>
  <c r="E9" i="1"/>
  <c r="E10" i="1"/>
  <c r="E11" i="1"/>
  <c r="E12" i="1"/>
  <c r="E13" i="1"/>
  <c r="E14" i="1"/>
  <c r="F5" i="1"/>
  <c r="Y50" i="1"/>
  <c r="AK5" i="1" l="1"/>
  <c r="AV45" i="1"/>
  <c r="AG11" i="1"/>
  <c r="AT61" i="1"/>
  <c r="AW61" i="1" s="1"/>
  <c r="AT67" i="1"/>
  <c r="AV67" i="1" s="1"/>
  <c r="AT59" i="1"/>
  <c r="AV59" i="1" s="1"/>
  <c r="AT56" i="1"/>
  <c r="AT60" i="1"/>
  <c r="AX67" i="1"/>
  <c r="AT66" i="1"/>
  <c r="AT58" i="1"/>
  <c r="AT65" i="1"/>
  <c r="AT57" i="1"/>
  <c r="AT64" i="1"/>
  <c r="AW67" i="1"/>
  <c r="AT63" i="1"/>
  <c r="AT62" i="1"/>
  <c r="M40" i="1"/>
  <c r="H56" i="1"/>
  <c r="K52" i="1"/>
  <c r="I56" i="1"/>
  <c r="M38" i="1"/>
  <c r="AB9" i="1"/>
  <c r="AX59" i="1" l="1"/>
  <c r="AV61" i="1"/>
  <c r="AW59" i="1"/>
  <c r="AX61" i="1"/>
  <c r="AW62" i="1"/>
  <c r="AX62" i="1"/>
  <c r="AV62" i="1"/>
  <c r="AV66" i="1"/>
  <c r="AW66" i="1"/>
  <c r="AX66" i="1"/>
  <c r="AV63" i="1"/>
  <c r="AW63" i="1"/>
  <c r="AX63" i="1"/>
  <c r="AW64" i="1"/>
  <c r="AX64" i="1"/>
  <c r="AV64" i="1"/>
  <c r="AW60" i="1"/>
  <c r="AX60" i="1"/>
  <c r="AV60" i="1"/>
  <c r="AV58" i="1"/>
  <c r="AW58" i="1"/>
  <c r="AX58" i="1"/>
  <c r="AV57" i="1"/>
  <c r="AW57" i="1"/>
  <c r="AX57" i="1"/>
  <c r="AV65" i="1"/>
  <c r="AW65" i="1"/>
  <c r="AX65" i="1"/>
  <c r="AW56" i="1"/>
  <c r="AX56" i="1"/>
  <c r="AV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SameerHawal08</author>
  </authors>
  <commentList>
    <comment ref="AS18" authorId="0" shapeId="0" xr:uid="{D2EAD38D-8F84-4ACB-8713-9947923353B5}">
      <text>
        <r>
          <rPr>
            <b/>
            <sz val="11"/>
            <color indexed="81"/>
            <rFont val="Tahoma"/>
            <charset val="1"/>
          </rPr>
          <t>SameerHawal08:</t>
        </r>
        <r>
          <rPr>
            <sz val="11"/>
            <color indexed="81"/>
            <rFont val="Tahoma"/>
            <charset val="1"/>
          </rPr>
          <t xml:space="preserve">
it was giving me error but I used ctrl+shift+enter it worked ….it was in general form change it to date formate</t>
        </r>
      </text>
    </comment>
    <comment ref="W42" authorId="0" shapeId="0" xr:uid="{FFCA7281-38F9-4946-9EEF-1E05EF07B8F9}">
      <text>
        <r>
          <rPr>
            <b/>
            <sz val="11"/>
            <color indexed="81"/>
            <rFont val="Tahoma"/>
            <charset val="1"/>
          </rPr>
          <t>SameerHawal08:</t>
        </r>
        <r>
          <rPr>
            <sz val="11"/>
            <color indexed="81"/>
            <rFont val="Tahoma"/>
            <charset val="1"/>
          </rPr>
          <t xml:space="preserve">
check why this is not giving exact match
</t>
        </r>
      </text>
    </comment>
    <comment ref="R47" authorId="0" shapeId="0" xr:uid="{EE275DAA-EF83-4F5C-8D4A-FA83C9321772}">
      <text>
        <r>
          <rPr>
            <b/>
            <sz val="11"/>
            <color indexed="81"/>
            <rFont val="Tahoma"/>
            <charset val="1"/>
          </rPr>
          <t>SameerHawal08:</t>
        </r>
        <r>
          <rPr>
            <sz val="11"/>
            <color indexed="81"/>
            <rFont val="Tahoma"/>
            <charset val="1"/>
          </rPr>
          <t xml:space="preserve">
It Is Relatively Less Used because we have token exact number of character
</t>
        </r>
      </text>
    </comment>
    <comment ref="Q51" authorId="0" shapeId="0" xr:uid="{31CE07AA-67B4-4613-9772-3850037FD56F}">
      <text>
        <r>
          <rPr>
            <b/>
            <sz val="11"/>
            <color indexed="81"/>
            <rFont val="Tahoma"/>
            <charset val="1"/>
          </rPr>
          <t>SameerHawal08:</t>
        </r>
        <r>
          <rPr>
            <sz val="11"/>
            <color indexed="81"/>
            <rFont val="Tahoma"/>
            <charset val="1"/>
          </rPr>
          <t xml:space="preserve">
This Could be disadvantage ,as it capitalize any alphabet that follow a special character
</t>
        </r>
      </text>
    </comment>
    <comment ref="X54" authorId="0" shapeId="0" xr:uid="{A97CB83C-98DA-4633-B0C5-7037CA69A637}">
      <text>
        <r>
          <rPr>
            <b/>
            <sz val="11"/>
            <color indexed="81"/>
            <rFont val="Tahoma"/>
            <charset val="1"/>
          </rPr>
          <t>SameerHawal08:</t>
        </r>
        <r>
          <rPr>
            <sz val="11"/>
            <color indexed="81"/>
            <rFont val="Tahoma"/>
            <charset val="1"/>
          </rPr>
          <t xml:space="preserve">
as it gives error because the data is not sorted in decending order</t>
        </r>
      </text>
    </comment>
  </commentList>
</comments>
</file>

<file path=xl/sharedStrings.xml><?xml version="1.0" encoding="utf-8"?>
<sst xmlns="http://schemas.openxmlformats.org/spreadsheetml/2006/main" count="381" uniqueCount="235">
  <si>
    <t>sales(in mn)</t>
  </si>
  <si>
    <t>Months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</si>
  <si>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</si>
  <si>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</si>
  <si>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</si>
  <si>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</si>
  <si>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</si>
  <si>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</si>
  <si>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</si>
  <si>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</si>
  <si>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</si>
  <si>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</si>
  <si>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</si>
  <si>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</si>
  <si>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Absoulte cell refecence</t>
  </si>
  <si>
    <t>Relative Cell Refernce</t>
  </si>
  <si>
    <t>Mixed Cell Reference</t>
  </si>
  <si>
    <t>right result</t>
  </si>
  <si>
    <t xml:space="preserve"> wrong result because it is not absoult </t>
  </si>
  <si>
    <t xml:space="preserve"> </t>
  </si>
  <si>
    <t xml:space="preserve">debugging formula </t>
  </si>
  <si>
    <t>(mod)</t>
  </si>
  <si>
    <t>(RAND)</t>
  </si>
  <si>
    <t>(randbetween)</t>
  </si>
  <si>
    <t>(round)</t>
  </si>
  <si>
    <t>(sum)</t>
  </si>
  <si>
    <t>(sumif)</t>
  </si>
  <si>
    <t>Tom</t>
  </si>
  <si>
    <t>Jane</t>
  </si>
  <si>
    <t>Arjun</t>
  </si>
  <si>
    <t>(sumifs)</t>
  </si>
  <si>
    <t>sumproduct()</t>
  </si>
  <si>
    <t>(INT)MATH FORMULA</t>
  </si>
  <si>
    <t xml:space="preserve">DATE AND TIME </t>
  </si>
  <si>
    <t>1) DAY</t>
  </si>
  <si>
    <t>2) Hour</t>
  </si>
  <si>
    <t>3) Minutes</t>
  </si>
  <si>
    <t>year</t>
  </si>
  <si>
    <t>month</t>
  </si>
  <si>
    <t>day</t>
  </si>
  <si>
    <t>4)DATE</t>
  </si>
  <si>
    <t>5)Today</t>
  </si>
  <si>
    <t>6)Now</t>
  </si>
  <si>
    <t>7)WEEKDAY</t>
  </si>
  <si>
    <t>Hite Week Monday la 1 pakadlay pan aj Tuesday ahe manun 2 Ale</t>
  </si>
  <si>
    <t xml:space="preserve">Start Date </t>
  </si>
  <si>
    <t>End Date</t>
  </si>
  <si>
    <t>Holidays</t>
  </si>
  <si>
    <t>8)NETWORKDAY</t>
  </si>
  <si>
    <t>start date</t>
  </si>
  <si>
    <t>days to complete</t>
  </si>
  <si>
    <t>holidays</t>
  </si>
  <si>
    <t xml:space="preserve">data </t>
  </si>
  <si>
    <t>STATS FORMULA IN EXCEL</t>
  </si>
  <si>
    <t>1) AVERAGE</t>
  </si>
  <si>
    <t>data</t>
  </si>
  <si>
    <t>2)AverageIf</t>
  </si>
  <si>
    <t>fruit</t>
  </si>
  <si>
    <t>Apple</t>
  </si>
  <si>
    <t>Banana</t>
  </si>
  <si>
    <t>Orange</t>
  </si>
  <si>
    <t>Papaya</t>
  </si>
  <si>
    <t>Quantity</t>
  </si>
  <si>
    <t>Price</t>
  </si>
  <si>
    <t>3)Avereageifs</t>
  </si>
  <si>
    <t>hello</t>
  </si>
  <si>
    <t>4)COUNT,COUNTA,COUNTBLANK</t>
  </si>
  <si>
    <t>5)COUNTIF</t>
  </si>
  <si>
    <t>6)COUNTIFS</t>
  </si>
  <si>
    <t>7)Large</t>
  </si>
  <si>
    <t>8)Small</t>
  </si>
  <si>
    <t>9)MAX</t>
  </si>
  <si>
    <t>10)MIN</t>
  </si>
  <si>
    <t>Data Used (Large,Small,Max,Min)</t>
  </si>
  <si>
    <t>TEXT FORMULA</t>
  </si>
  <si>
    <t>DATA USED</t>
  </si>
  <si>
    <t>Hello</t>
  </si>
  <si>
    <t>1)Left/Right</t>
  </si>
  <si>
    <t>Trump Excel</t>
  </si>
  <si>
    <t>2)MID</t>
  </si>
  <si>
    <t>3)Len</t>
  </si>
  <si>
    <t>4)Lower/Upper</t>
  </si>
  <si>
    <t>Data Used</t>
  </si>
  <si>
    <t>HELLO</t>
  </si>
  <si>
    <t xml:space="preserve">DATA USED </t>
  </si>
  <si>
    <t>trumpexcel</t>
  </si>
  <si>
    <t>s.bansal</t>
  </si>
  <si>
    <t>It's awesome</t>
  </si>
  <si>
    <t>6)Proper</t>
  </si>
  <si>
    <t>trump excel</t>
  </si>
  <si>
    <t>8)REPLACE</t>
  </si>
  <si>
    <t>abcdefghij</t>
  </si>
  <si>
    <t>trumpexcel@gmail.com</t>
  </si>
  <si>
    <t>abcdabcdabcd</t>
  </si>
  <si>
    <t>9)Substitute</t>
  </si>
  <si>
    <t>123@@@123</t>
  </si>
  <si>
    <t>10)TEXT</t>
  </si>
  <si>
    <t>LOOKUP AND REFERENCE FORMULA</t>
  </si>
  <si>
    <t>sales person</t>
  </si>
  <si>
    <t>Quarter</t>
  </si>
  <si>
    <t>Sales</t>
  </si>
  <si>
    <t>Q1 2014</t>
  </si>
  <si>
    <t>Q2 2013</t>
  </si>
  <si>
    <t>Q3 2012</t>
  </si>
  <si>
    <t>1) VLOOKUP</t>
  </si>
  <si>
    <t>Q1 2013</t>
  </si>
  <si>
    <t>Q3 2014</t>
  </si>
  <si>
    <t>Q4 2014</t>
  </si>
  <si>
    <t>3) INDEX</t>
  </si>
  <si>
    <t>data for match</t>
  </si>
  <si>
    <t>4) MATCH</t>
  </si>
  <si>
    <t>data used in formula</t>
  </si>
  <si>
    <t>A3</t>
  </si>
  <si>
    <t>6)Indirect</t>
  </si>
  <si>
    <t>7)ROW</t>
  </si>
  <si>
    <t>9)Column</t>
  </si>
  <si>
    <t>8)Rows</t>
  </si>
  <si>
    <t>10)Columns</t>
  </si>
  <si>
    <t>compare list(same order)</t>
  </si>
  <si>
    <t>compare</t>
  </si>
  <si>
    <t>Australia</t>
  </si>
  <si>
    <t>Austria</t>
  </si>
  <si>
    <t>Brazil</t>
  </si>
  <si>
    <t>Canada</t>
  </si>
  <si>
    <t>China</t>
  </si>
  <si>
    <t>Finland</t>
  </si>
  <si>
    <t>France</t>
  </si>
  <si>
    <t>Germany</t>
  </si>
  <si>
    <t>Comapre List (Diff order,using vlookup)</t>
  </si>
  <si>
    <t>Gabson</t>
  </si>
  <si>
    <t>Moroco</t>
  </si>
  <si>
    <t>Israel</t>
  </si>
  <si>
    <t>Spain</t>
  </si>
  <si>
    <t>Switzerland</t>
  </si>
  <si>
    <t>for unique list</t>
  </si>
  <si>
    <t>Get Closest Match</t>
  </si>
  <si>
    <t>John</t>
  </si>
  <si>
    <t>Grey</t>
  </si>
  <si>
    <t>Martha</t>
  </si>
  <si>
    <t xml:space="preserve"> Employee Name</t>
  </si>
  <si>
    <t>Total Work Experience(Years)</t>
  </si>
  <si>
    <t>Required Experience</t>
  </si>
  <si>
    <t xml:space="preserve">Formula </t>
  </si>
  <si>
    <t>(Index + Match Formula)</t>
  </si>
  <si>
    <t>4)Get The Last Value</t>
  </si>
  <si>
    <t>Data</t>
  </si>
  <si>
    <t>Last value</t>
  </si>
  <si>
    <t>5)Find The Last Occurance Of an Item In a List</t>
  </si>
  <si>
    <t>Meeting Char</t>
  </si>
  <si>
    <t>Aman</t>
  </si>
  <si>
    <t>Steve</t>
  </si>
  <si>
    <t>Cristiano</t>
  </si>
  <si>
    <t>Meeting Date</t>
  </si>
  <si>
    <t>Formula</t>
  </si>
  <si>
    <t>6) 2way and 3way lookup using Index Match</t>
  </si>
  <si>
    <t>sales rep</t>
  </si>
  <si>
    <t>Jan</t>
  </si>
  <si>
    <t>Feb</t>
  </si>
  <si>
    <t>Apr</t>
  </si>
  <si>
    <t>Jun</t>
  </si>
  <si>
    <t>Jul</t>
  </si>
  <si>
    <t>Aug</t>
  </si>
  <si>
    <t>Sep</t>
  </si>
  <si>
    <t>Oct</t>
  </si>
  <si>
    <t>Nov</t>
  </si>
  <si>
    <t>Dec</t>
  </si>
  <si>
    <t>Joe</t>
  </si>
  <si>
    <t>Mike</t>
  </si>
  <si>
    <t>Rocheal</t>
  </si>
  <si>
    <t xml:space="preserve">7) Count The Number Of Words </t>
  </si>
  <si>
    <t xml:space="preserve">Data Used In Formula </t>
  </si>
  <si>
    <t>Let The Cat Out Of The Bag</t>
  </si>
  <si>
    <t>Let The Cat      Out Of The Bag</t>
  </si>
  <si>
    <t>8)Extract Username from Email-Id</t>
  </si>
  <si>
    <t>abc@gmail.com</t>
  </si>
  <si>
    <t>10)Extract Data Using DropDown List</t>
  </si>
  <si>
    <t>Product Name</t>
  </si>
  <si>
    <t>Sales Rep</t>
  </si>
  <si>
    <t>Country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</si>
  <si>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</si>
  <si>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</si>
  <si>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</si>
  <si>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</si>
  <si>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</si>
  <si>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</si>
  <si>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</si>
  <si>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</si>
  <si>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</si>
  <si>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</si>
  <si>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</si>
  <si>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</si>
  <si>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Micheal</t>
  </si>
  <si>
    <t>Lionel</t>
  </si>
  <si>
    <t>David</t>
  </si>
  <si>
    <t>Robert</t>
  </si>
  <si>
    <t>Sameer</t>
  </si>
  <si>
    <t>Harry</t>
  </si>
  <si>
    <t>Paul</t>
  </si>
  <si>
    <t>India</t>
  </si>
  <si>
    <t>Japan</t>
  </si>
  <si>
    <t>Portugal</t>
  </si>
  <si>
    <t>Argentina</t>
  </si>
  <si>
    <t>England</t>
  </si>
  <si>
    <t>Poland</t>
  </si>
  <si>
    <t>Helper 1</t>
  </si>
  <si>
    <t>Helper 2</t>
  </si>
  <si>
    <t>Helper 3</t>
  </si>
  <si>
    <t>sales rep name</t>
  </si>
  <si>
    <t>Bob</t>
  </si>
  <si>
    <t>Julie</t>
  </si>
  <si>
    <t>Stan</t>
  </si>
  <si>
    <t>Mark</t>
  </si>
  <si>
    <t>Region</t>
  </si>
  <si>
    <t>US</t>
  </si>
  <si>
    <t>DATA VALIDATION IN EXCEL</t>
  </si>
  <si>
    <t>A</t>
  </si>
  <si>
    <t>B</t>
  </si>
  <si>
    <t>C</t>
  </si>
  <si>
    <t>D</t>
  </si>
  <si>
    <t>E</t>
  </si>
  <si>
    <t>Sumit</t>
  </si>
  <si>
    <t>Name</t>
  </si>
  <si>
    <t>Age</t>
  </si>
  <si>
    <t>DOB</t>
  </si>
  <si>
    <t>Advance Data Validation Tricks</t>
  </si>
  <si>
    <t xml:space="preserve">SALES RESPRESENTATIVE NAME </t>
  </si>
  <si>
    <t>REGION</t>
  </si>
  <si>
    <t>SALES</t>
  </si>
  <si>
    <t>BOB</t>
  </si>
  <si>
    <t>HARRY</t>
  </si>
  <si>
    <t>JULIE</t>
  </si>
  <si>
    <t>STAN</t>
  </si>
  <si>
    <t>MARK</t>
  </si>
  <si>
    <t>CANADA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</si>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</sst>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dd/mm/yyyy;@"/>
    <numFmt numFmtId="165" formatCode="[$-F400]h:mm:ss\ AM/PM"/>
    <numFmt numFmtId="166" formatCode="[$-14009]dd\-mm\-yyyy;@"/>
    <numFmt numFmtId="167" formatCode="[$-F800]dddd\,\ mmmm\ dd\,\ 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12" fontId="0" fillId="0" borderId="0" xfId="0" applyNumberFormat="1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6" borderId="0" xfId="0" applyFill="1"/>
    <xf numFmtId="20" fontId="0" fillId="0" borderId="0" xfId="0" applyNumberFormat="1"/>
    <xf numFmtId="165" fontId="0" fillId="0" borderId="0" xfId="0" applyNumberFormat="1"/>
    <xf numFmtId="18" fontId="0" fillId="0" borderId="0" xfId="0" applyNumberFormat="1"/>
    <xf numFmtId="14" fontId="0" fillId="0" borderId="0" xfId="0" applyNumberFormat="1"/>
    <xf numFmtId="166" fontId="0" fillId="0" borderId="0" xfId="0" applyNumberFormat="1"/>
    <xf numFmtId="22" fontId="0" fillId="0" borderId="0" xfId="0" applyNumberFormat="1"/>
    <xf numFmtId="167" fontId="0" fillId="0" borderId="0" xfId="0" applyNumberFormat="1"/>
    <xf numFmtId="0" fontId="0" fillId="7" borderId="0" xfId="0" applyFill="1"/>
    <xf numFmtId="0" fontId="0" fillId="7" borderId="1" xfId="0" applyFill="1" applyBorder="1"/>
    <xf numFmtId="17" fontId="0" fillId="7" borderId="1" xfId="0" applyNumberFormat="1" applyFill="1" applyBorder="1"/>
    <xf numFmtId="14" fontId="0" fillId="7" borderId="1" xfId="0" applyNumberFormat="1" applyFill="1" applyBorder="1"/>
    <xf numFmtId="6" fontId="0" fillId="7" borderId="1" xfId="0" applyNumberFormat="1" applyFill="1" applyBorder="1"/>
    <xf numFmtId="0" fontId="0" fillId="8" borderId="0" xfId="0" applyFill="1"/>
    <xf numFmtId="0" fontId="0" fillId="8" borderId="1" xfId="0" applyFill="1" applyBorder="1"/>
    <xf numFmtId="0" fontId="0" fillId="8" borderId="3" xfId="0" applyFill="1" applyBorder="1"/>
    <xf numFmtId="0" fontId="4" fillId="8" borderId="1" xfId="1" applyFill="1" applyBorder="1"/>
    <xf numFmtId="3" fontId="0" fillId="8" borderId="1" xfId="0" applyNumberFormat="1" applyFill="1" applyBorder="1"/>
    <xf numFmtId="16" fontId="0" fillId="8" borderId="1" xfId="0" applyNumberFormat="1" applyFill="1" applyBorder="1"/>
    <xf numFmtId="0" fontId="0" fillId="9" borderId="1" xfId="0" applyFill="1" applyBorder="1"/>
    <xf numFmtId="0" fontId="0" fillId="9" borderId="3" xfId="0" applyFill="1" applyBorder="1"/>
    <xf numFmtId="0" fontId="0" fillId="8" borderId="5" xfId="0" applyFill="1" applyBorder="1"/>
    <xf numFmtId="0" fontId="0" fillId="0" borderId="5" xfId="0" applyBorder="1"/>
    <xf numFmtId="0" fontId="0" fillId="6" borderId="6" xfId="0" applyFill="1" applyBorder="1"/>
    <xf numFmtId="0" fontId="0" fillId="6" borderId="1" xfId="0" applyFill="1" applyBorder="1"/>
    <xf numFmtId="0" fontId="0" fillId="10" borderId="3" xfId="0" applyFill="1" applyBorder="1"/>
    <xf numFmtId="0" fontId="0" fillId="3" borderId="0" xfId="0" applyFill="1" applyAlignment="1">
      <alignment horizontal="center"/>
    </xf>
    <xf numFmtId="0" fontId="0" fillId="11" borderId="0" xfId="0" applyFill="1"/>
    <xf numFmtId="0" fontId="0" fillId="12" borderId="1" xfId="0" applyFill="1" applyBorder="1"/>
    <xf numFmtId="0" fontId="0" fillId="12" borderId="0" xfId="0" applyFill="1"/>
    <xf numFmtId="0" fontId="0" fillId="12" borderId="3" xfId="0" applyFill="1" applyBorder="1"/>
    <xf numFmtId="15" fontId="0" fillId="12" borderId="1" xfId="0" applyNumberFormat="1" applyFill="1" applyBorder="1"/>
    <xf numFmtId="14" fontId="0" fillId="12" borderId="1" xfId="0" applyNumberFormat="1" applyFill="1" applyBorder="1"/>
    <xf numFmtId="0" fontId="0" fillId="12" borderId="2" xfId="0" applyFill="1" applyBorder="1"/>
    <xf numFmtId="0" fontId="0" fillId="12" borderId="2" xfId="0" applyFill="1" applyBorder="1" applyAlignment="1">
      <alignment horizontal="center"/>
    </xf>
    <xf numFmtId="0" fontId="0" fillId="12" borderId="7" xfId="0" applyFill="1" applyBorder="1"/>
    <xf numFmtId="0" fontId="0" fillId="13" borderId="8" xfId="0" applyFill="1" applyBorder="1"/>
    <xf numFmtId="0" fontId="0" fillId="13" borderId="9" xfId="0" applyFill="1" applyBorder="1"/>
    <xf numFmtId="0" fontId="0" fillId="13" borderId="10" xfId="0" applyFill="1" applyBorder="1"/>
    <xf numFmtId="0" fontId="0" fillId="13" borderId="11" xfId="0" applyFill="1" applyBorder="1"/>
    <xf numFmtId="0" fontId="0" fillId="12" borderId="12" xfId="0" applyFill="1" applyBorder="1"/>
    <xf numFmtId="0" fontId="4" fillId="12" borderId="1" xfId="1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7" borderId="13" xfId="0" applyFill="1" applyBorder="1"/>
    <xf numFmtId="0" fontId="0" fillId="0" borderId="13" xfId="0" applyBorder="1"/>
    <xf numFmtId="0" fontId="0" fillId="17" borderId="14" xfId="0" applyFill="1" applyBorder="1"/>
    <xf numFmtId="0" fontId="0" fillId="0" borderId="14" xfId="0" applyBorder="1"/>
    <xf numFmtId="0" fontId="5" fillId="16" borderId="0" xfId="0" applyFont="1" applyFill="1"/>
    <xf numFmtId="0" fontId="5" fillId="16" borderId="6" xfId="0" applyFont="1" applyFill="1" applyBorder="1"/>
    <xf numFmtId="0" fontId="0" fillId="5" borderId="0" xfId="0" applyFill="1"/>
    <xf numFmtId="0" fontId="0" fillId="18" borderId="0" xfId="0" applyFill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2" borderId="3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theme="8" tint="-0.2499465926084170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8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12700</xdr:colOff>
          <xdr:row>0</xdr:row>
          <xdr:rowOff>0</xdr:rowOff>
        </xdr:from>
        <xdr:to>
          <xdr:col>15</xdr:col>
          <xdr:colOff>476250</xdr:colOff>
          <xdr:row>14</xdr:row>
          <xdr:rowOff>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8923C732-08F2-A382-2F9A-4744D93706E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D$14" spid="_x0000_s118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855200" y="0"/>
              <a:ext cx="5035550" cy="25781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1D19FC-E87A-4827-9F9A-98FC500CAF9C}" name="Table2" displayName="Table2" ref="BB73:BD79" totalsRowShown="0" headerRowDxfId="10" tableBorderDxfId="9">
  <autoFilter ref="BB73:BD79" xr:uid="{D31D19FC-E87A-4827-9F9A-98FC500CAF9C}"/>
  <tableColumns count="3">
    <tableColumn id="1" xr3:uid="{D97385E1-E0D9-4026-8A3D-EC839B672243}" name="sales rep name" dataDxfId="8"/>
    <tableColumn id="2" xr3:uid="{E55AE78B-00B5-4781-A233-9026725DF000}" name="Region" dataDxfId="7"/>
    <tableColumn id="3" xr3:uid="{2CDF677C-6BF9-4566-B28C-CC52122EB095}" name="Sale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umpexcel@gmail.com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trumpexcel@gmail.com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347B-7C59-4C2D-B9A3-B1B6E4C37A4A}">
  <dimension ref="A1:BJ79"/>
  <sheetViews>
    <sheetView tabSelected="1" topLeftCell="AU1" zoomScale="80" zoomScaleNormal="100" workbookViewId="0">
      <selection activeCell="BB6" sqref="BB6"/>
    </sheetView>
  </sheetViews>
  <sheetFormatPr defaultRowHeight="14.5" x14ac:dyDescent="0.35"/>
  <cols>
    <col min="1" max="1" width="10.26953125" customWidth="1"/>
    <col min="2" max="2" width="18.453125" bestFit="1" customWidth="1"/>
    <col min="3" max="3" width="33.08984375" bestFit="1" customWidth="1"/>
    <col min="4" max="4" width="10.26953125" customWidth="1"/>
    <col min="5" max="5" width="18.81640625" bestFit="1" customWidth="1"/>
    <col min="8" max="8" width="9.90625" bestFit="1" customWidth="1"/>
    <col min="9" max="9" width="10.81640625" bestFit="1" customWidth="1"/>
    <col min="10" max="10" width="11.81640625" bestFit="1" customWidth="1"/>
    <col min="11" max="11" width="7.54296875" bestFit="1" customWidth="1"/>
    <col min="12" max="12" width="12.1796875" bestFit="1" customWidth="1"/>
    <col min="13" max="13" width="28.26953125" bestFit="1" customWidth="1"/>
    <col min="17" max="17" width="13.7265625" bestFit="1" customWidth="1"/>
    <col min="18" max="18" width="20.7265625" bestFit="1" customWidth="1"/>
    <col min="19" max="19" width="12.90625" bestFit="1" customWidth="1"/>
    <col min="20" max="20" width="13.6328125" bestFit="1" customWidth="1"/>
    <col min="22" max="22" width="14.54296875" bestFit="1" customWidth="1"/>
    <col min="23" max="23" width="11.26953125" bestFit="1" customWidth="1"/>
    <col min="24" max="24" width="11.36328125" bestFit="1" customWidth="1"/>
    <col min="25" max="26" width="10.453125" bestFit="1" customWidth="1"/>
    <col min="27" max="27" width="14.81640625" bestFit="1" customWidth="1"/>
    <col min="28" max="28" width="15.1796875" bestFit="1" customWidth="1"/>
    <col min="29" max="29" width="56.453125" bestFit="1" customWidth="1"/>
    <col min="32" max="32" width="10.453125" bestFit="1" customWidth="1"/>
    <col min="39" max="39" width="17.90625" bestFit="1" customWidth="1"/>
    <col min="40" max="40" width="25.7265625" bestFit="1" customWidth="1"/>
    <col min="41" max="41" width="18.08984375" bestFit="1" customWidth="1"/>
    <col min="42" max="43" width="12" bestFit="1" customWidth="1"/>
    <col min="45" max="45" width="9.453125" bestFit="1" customWidth="1"/>
    <col min="48" max="48" width="18.08984375" bestFit="1" customWidth="1"/>
    <col min="49" max="50" width="12" bestFit="1" customWidth="1"/>
    <col min="54" max="54" width="15.7265625" bestFit="1" customWidth="1"/>
    <col min="56" max="56" width="11.36328125" bestFit="1" customWidth="1"/>
    <col min="60" max="60" width="13.453125" bestFit="1" customWidth="1"/>
    <col min="61" max="61" width="7.08984375" bestFit="1" customWidth="1"/>
    <col min="62" max="62" width="5" bestFit="1" customWidth="1"/>
  </cols>
  <sheetData>
    <row r="1" spans="1:61" x14ac:dyDescent="0.35">
      <c r="A1" s="1"/>
      <c r="B1" s="62" t="s">
        <v>0</v>
      </c>
      <c r="C1" s="63"/>
      <c r="D1" s="64"/>
    </row>
    <row r="2" spans="1:61" x14ac:dyDescent="0.35">
      <c r="A2" s="1" t="s">
        <v>1</v>
      </c>
      <c r="B2" s="1">
        <v>2011</v>
      </c>
      <c r="C2" s="1">
        <v>2012</v>
      </c>
      <c r="D2" s="1">
        <v>2013</v>
      </c>
      <c r="E2" s="4" t="s">
        <v>15</v>
      </c>
      <c r="U2" s="61" t="s">
        <v>33</v>
      </c>
      <c r="V2" s="61"/>
      <c r="W2" s="61"/>
      <c r="X2" s="61"/>
      <c r="Z2" t="s">
        <v>37</v>
      </c>
      <c r="AA2" t="s">
        <v>38</v>
      </c>
      <c r="AB2" t="s">
        <v>39</v>
      </c>
      <c r="BC2" s="59" t="s">
        <v>214</v>
      </c>
      <c r="BD2" s="59"/>
      <c r="BE2" s="59"/>
      <c r="BF2" s="59"/>
      <c r="BG2" s="59"/>
      <c r="BH2" s="59"/>
      <c r="BI2" s="59"/>
    </row>
    <row r="3" spans="1:61" x14ac:dyDescent="0.35">
      <c r="A3" s="1" t="s">
        <v>2</v>
      </c>
      <c r="B3" s="1">
        <v>246</v>
      </c>
      <c r="C3" s="1">
        <v>345</v>
      </c>
      <c r="D3" s="1">
        <v>566</v>
      </c>
      <c r="E3" s="4">
        <f>$D$3</f>
        <v>566</v>
      </c>
      <c r="V3" s="65">
        <v>41703</v>
      </c>
      <c r="W3" s="61"/>
      <c r="X3" s="10">
        <v>0</v>
      </c>
      <c r="Z3">
        <v>2014</v>
      </c>
      <c r="AA3">
        <v>3</v>
      </c>
      <c r="AB3">
        <v>1</v>
      </c>
      <c r="BC3" s="59"/>
      <c r="BD3" s="59"/>
      <c r="BE3" s="59"/>
      <c r="BF3" s="59"/>
      <c r="BG3" s="59" t="s">
        <v>224</v>
      </c>
      <c r="BH3" s="59"/>
      <c r="BI3" s="59"/>
    </row>
    <row r="4" spans="1:61" x14ac:dyDescent="0.35">
      <c r="A4" s="1" t="s">
        <v>3</v>
      </c>
      <c r="B4" s="1">
        <v>178</v>
      </c>
      <c r="C4" s="1">
        <v>342</v>
      </c>
      <c r="D4" s="1">
        <v>574</v>
      </c>
      <c r="E4" s="4">
        <f t="shared" ref="E4:E14" si="0">D4</f>
        <v>574</v>
      </c>
      <c r="V4" s="61">
        <v>1</v>
      </c>
      <c r="W4" s="61"/>
      <c r="X4" s="10">
        <v>0.125</v>
      </c>
      <c r="Y4" s="11">
        <v>0.14583333333333334</v>
      </c>
      <c r="AG4" s="35" t="s">
        <v>134</v>
      </c>
      <c r="AH4" s="35"/>
      <c r="AI4" s="35"/>
      <c r="AM4" s="36" t="s">
        <v>135</v>
      </c>
      <c r="AN4" s="36" t="s">
        <v>143</v>
      </c>
      <c r="AO4" s="36"/>
      <c r="BC4" s="59"/>
      <c r="BD4" s="59"/>
      <c r="BE4" s="59"/>
      <c r="BF4" s="59"/>
      <c r="BG4" s="7" t="s">
        <v>221</v>
      </c>
      <c r="BH4" s="7"/>
      <c r="BI4" s="59"/>
    </row>
    <row r="5" spans="1:61" x14ac:dyDescent="0.35">
      <c r="A5" s="1" t="s">
        <v>4</v>
      </c>
      <c r="B5" s="1">
        <v>279</v>
      </c>
      <c r="C5" s="1">
        <v>356</v>
      </c>
      <c r="D5" s="1">
        <v>532</v>
      </c>
      <c r="E5" s="4">
        <f t="shared" si="0"/>
        <v>532</v>
      </c>
      <c r="F5">
        <f>SUM(B3:C3)+SUM(B4:C4)+317.5</f>
        <v>1428.5</v>
      </c>
      <c r="G5" s="5" t="s">
        <v>14</v>
      </c>
      <c r="H5" s="5"/>
      <c r="I5" s="34"/>
      <c r="J5" s="3">
        <v>38177</v>
      </c>
      <c r="W5" s="61">
        <v>3</v>
      </c>
      <c r="X5" s="61"/>
      <c r="Y5" s="9">
        <v>0.125</v>
      </c>
      <c r="Z5" s="9">
        <v>0.1388888888888889</v>
      </c>
      <c r="AG5" s="35">
        <f>IF(COUNTIF(AI6:AI6,AI6)=1,AH14+1,AH14)</f>
        <v>2</v>
      </c>
      <c r="AH5" s="35">
        <f>COUNTIF($AI$5:AI5,AI5)</f>
        <v>1</v>
      </c>
      <c r="AI5" s="35" t="s">
        <v>120</v>
      </c>
      <c r="AK5" t="str">
        <f>IFERROR(VLOOKUP(AJ5:AJ5,$AH$5:$AI$20,2,FALSE),"")</f>
        <v/>
      </c>
      <c r="AM5" s="36"/>
      <c r="AN5" s="36"/>
      <c r="AO5" s="36"/>
      <c r="BC5" s="59"/>
      <c r="BD5" s="59"/>
      <c r="BE5" s="59" t="s">
        <v>215</v>
      </c>
      <c r="BF5" s="59"/>
      <c r="BG5" s="7" t="s">
        <v>222</v>
      </c>
      <c r="BH5" s="7"/>
      <c r="BI5" s="59"/>
    </row>
    <row r="6" spans="1:61" x14ac:dyDescent="0.35">
      <c r="A6" s="1" t="s">
        <v>5</v>
      </c>
      <c r="B6" s="1">
        <v>845</v>
      </c>
      <c r="C6" s="1">
        <v>376</v>
      </c>
      <c r="D6" s="1">
        <v>512</v>
      </c>
      <c r="E6" s="4">
        <f t="shared" si="0"/>
        <v>512</v>
      </c>
      <c r="H6" s="5">
        <f>$D$3</f>
        <v>566</v>
      </c>
      <c r="I6" s="2"/>
      <c r="V6" s="61">
        <v>2014</v>
      </c>
      <c r="W6" s="61"/>
      <c r="X6" s="11">
        <v>0.625</v>
      </c>
      <c r="AG6" s="35">
        <f t="shared" ref="AG6:AG20" si="1">IF(COUNTIF(AI7:AI7,AI7)=1,AH15+1,AH15)</f>
        <v>2</v>
      </c>
      <c r="AH6" s="35">
        <f>COUNTIF($AI$5:AI6,AI6)</f>
        <v>1</v>
      </c>
      <c r="AI6" s="35" t="s">
        <v>121</v>
      </c>
      <c r="AM6" s="36" t="s">
        <v>139</v>
      </c>
      <c r="AN6" s="36" t="s">
        <v>140</v>
      </c>
      <c r="AO6" s="36" t="s">
        <v>141</v>
      </c>
      <c r="BC6" s="59"/>
      <c r="BD6" s="59"/>
      <c r="BE6" s="59" t="s">
        <v>216</v>
      </c>
      <c r="BF6" s="4"/>
      <c r="BG6" s="7" t="s">
        <v>223</v>
      </c>
      <c r="BH6" s="7"/>
      <c r="BI6" s="59"/>
    </row>
    <row r="7" spans="1:61" x14ac:dyDescent="0.35">
      <c r="A7" s="1" t="s">
        <v>6</v>
      </c>
      <c r="B7" s="1">
        <v>30</v>
      </c>
      <c r="C7" s="1">
        <v>387</v>
      </c>
      <c r="D7" s="1">
        <v>543</v>
      </c>
      <c r="E7" s="4">
        <f t="shared" si="0"/>
        <v>543</v>
      </c>
      <c r="AG7" s="35">
        <f t="shared" si="1"/>
        <v>2</v>
      </c>
      <c r="AH7" s="35">
        <f>COUNTIF($AI$5:AI7,AI7)</f>
        <v>1</v>
      </c>
      <c r="AI7" s="35" t="s">
        <v>122</v>
      </c>
      <c r="AM7" s="36" t="s">
        <v>136</v>
      </c>
      <c r="AN7" s="36">
        <v>9.3000000000000007</v>
      </c>
      <c r="AO7" s="36">
        <v>24.3</v>
      </c>
      <c r="BC7" s="59"/>
      <c r="BD7" s="59"/>
      <c r="BE7" s="59" t="s">
        <v>217</v>
      </c>
      <c r="BF7" s="59"/>
      <c r="BG7" s="59"/>
      <c r="BH7" s="59"/>
      <c r="BI7" s="59"/>
    </row>
    <row r="8" spans="1:61" x14ac:dyDescent="0.35">
      <c r="A8" s="1" t="s">
        <v>7</v>
      </c>
      <c r="B8" s="1">
        <v>122</v>
      </c>
      <c r="C8" s="1">
        <v>398</v>
      </c>
      <c r="D8" s="1">
        <v>576</v>
      </c>
      <c r="E8" s="4">
        <f t="shared" si="0"/>
        <v>576</v>
      </c>
      <c r="V8" t="s">
        <v>34</v>
      </c>
      <c r="W8" t="s">
        <v>35</v>
      </c>
      <c r="X8" t="s">
        <v>36</v>
      </c>
      <c r="Y8" t="s">
        <v>40</v>
      </c>
      <c r="Z8" t="s">
        <v>41</v>
      </c>
      <c r="AA8" t="s">
        <v>42</v>
      </c>
      <c r="AB8" t="s">
        <v>43</v>
      </c>
      <c r="AG8" s="35">
        <f t="shared" si="1"/>
        <v>3</v>
      </c>
      <c r="AH8" s="35">
        <f>COUNTIF($AI$5:AI8,AI8)</f>
        <v>1</v>
      </c>
      <c r="AI8" s="35" t="s">
        <v>123</v>
      </c>
      <c r="AM8" s="36" t="s">
        <v>27</v>
      </c>
      <c r="AN8" s="36">
        <v>1.7</v>
      </c>
      <c r="AO8" s="36"/>
      <c r="BC8" s="59"/>
      <c r="BD8" s="59"/>
      <c r="BE8" s="59" t="s">
        <v>218</v>
      </c>
      <c r="BF8" s="59"/>
      <c r="BG8" s="59"/>
      <c r="BH8" s="59"/>
      <c r="BI8" s="59"/>
    </row>
    <row r="9" spans="1:61" x14ac:dyDescent="0.35">
      <c r="A9" s="1" t="s">
        <v>8</v>
      </c>
      <c r="B9" s="1">
        <v>134</v>
      </c>
      <c r="C9" s="1">
        <v>300</v>
      </c>
      <c r="D9" s="1">
        <v>587</v>
      </c>
      <c r="E9" s="4">
        <f t="shared" si="0"/>
        <v>587</v>
      </c>
      <c r="V9">
        <f>DAY(V3)</f>
        <v>5</v>
      </c>
      <c r="W9">
        <f>HOUR(X3)</f>
        <v>0</v>
      </c>
      <c r="X9">
        <f>MINUTE(X3)</f>
        <v>0</v>
      </c>
      <c r="Y9" s="13">
        <f>DATE(Z3,AA3,AB3)</f>
        <v>41699</v>
      </c>
      <c r="Z9" s="13">
        <f ca="1">TODAY()</f>
        <v>45859</v>
      </c>
      <c r="AA9" s="14">
        <f ca="1">NOW()</f>
        <v>45859.782533680554</v>
      </c>
      <c r="AB9">
        <f ca="1">WEEKDAY(Z9)</f>
        <v>2</v>
      </c>
      <c r="AC9" t="str">
        <f>"WEEK CHA KONTA DIVAS AHE TE SANGTE"</f>
        <v>WEEK CHA KONTA DIVAS AHE TE SANGTE</v>
      </c>
      <c r="AG9" s="35">
        <f t="shared" si="1"/>
        <v>2</v>
      </c>
      <c r="AH9" s="35">
        <f>COUNTIF($AI$5:AI9,AI9)</f>
        <v>1</v>
      </c>
      <c r="AI9" s="35" t="s">
        <v>124</v>
      </c>
      <c r="AM9" s="36" t="s">
        <v>29</v>
      </c>
      <c r="AN9" s="36">
        <v>2.2000000000000002</v>
      </c>
      <c r="AO9" s="36"/>
      <c r="BC9" s="59"/>
      <c r="BD9" s="59"/>
      <c r="BE9" s="59" t="s">
        <v>219</v>
      </c>
      <c r="BF9" s="59"/>
      <c r="BG9" s="59">
        <v>2010</v>
      </c>
      <c r="BH9" s="60"/>
      <c r="BI9" s="59"/>
    </row>
    <row r="10" spans="1:61" x14ac:dyDescent="0.35">
      <c r="A10" s="1" t="s">
        <v>9</v>
      </c>
      <c r="B10" s="1">
        <v>243</v>
      </c>
      <c r="C10" s="1">
        <v>432</v>
      </c>
      <c r="D10" s="1">
        <v>598</v>
      </c>
      <c r="E10" s="4">
        <f t="shared" si="0"/>
        <v>598</v>
      </c>
      <c r="V10">
        <f>DAY("1/3/2014")</f>
        <v>3</v>
      </c>
      <c r="W10">
        <f>HOUR(X4)</f>
        <v>3</v>
      </c>
      <c r="X10">
        <f>MINUTE(Y4)</f>
        <v>30</v>
      </c>
      <c r="Y10" s="13">
        <f>DATE(14,3,1)</f>
        <v>5174</v>
      </c>
      <c r="Z10" s="13">
        <f ca="1">TODAY()+15</f>
        <v>45874</v>
      </c>
      <c r="AB10">
        <f ca="1">WEEKDAY(Z9,2)</f>
        <v>1</v>
      </c>
      <c r="AC10" t="s">
        <v>44</v>
      </c>
      <c r="AG10" s="35">
        <f t="shared" si="1"/>
        <v>3</v>
      </c>
      <c r="AH10" s="35">
        <f>COUNTIF($AI$5:AI10,AI10)</f>
        <v>1</v>
      </c>
      <c r="AI10" s="35" t="s">
        <v>125</v>
      </c>
      <c r="AM10" s="36" t="s">
        <v>137</v>
      </c>
      <c r="AN10" s="36">
        <v>24.3</v>
      </c>
      <c r="AO10" s="36"/>
      <c r="BC10" s="59"/>
      <c r="BD10" s="59"/>
      <c r="BE10" s="59"/>
      <c r="BF10" s="59"/>
      <c r="BG10" s="59">
        <v>2011</v>
      </c>
      <c r="BH10" s="59"/>
      <c r="BI10" s="59"/>
    </row>
    <row r="11" spans="1:61" x14ac:dyDescent="0.35">
      <c r="A11" s="1" t="s">
        <v>10</v>
      </c>
      <c r="B11" s="1">
        <v>22</v>
      </c>
      <c r="C11" s="1">
        <v>345</v>
      </c>
      <c r="D11" s="1">
        <v>567</v>
      </c>
      <c r="E11" s="4">
        <f t="shared" si="0"/>
        <v>567</v>
      </c>
      <c r="V11">
        <f ca="1">DAY(TODAY())</f>
        <v>21</v>
      </c>
      <c r="W11">
        <f>HOUR(Y5)</f>
        <v>3</v>
      </c>
      <c r="X11">
        <f>MINUTE(Z5)</f>
        <v>20</v>
      </c>
      <c r="Z11">
        <f ca="1">DAY(TODAY())</f>
        <v>21</v>
      </c>
      <c r="AG11" s="35">
        <f t="shared" si="1"/>
        <v>2</v>
      </c>
      <c r="AH11" s="35">
        <f>COUNTIF($AI$5:AI11,AI11)</f>
        <v>1</v>
      </c>
      <c r="AI11" s="35" t="s">
        <v>126</v>
      </c>
      <c r="AM11" s="36" t="s">
        <v>138</v>
      </c>
      <c r="AN11" s="36">
        <v>17</v>
      </c>
      <c r="AO11" s="36"/>
      <c r="BC11" s="59"/>
      <c r="BD11" s="60" t="s">
        <v>220</v>
      </c>
      <c r="BE11" s="60" t="b">
        <f>LEFT(BD11,1)="S"</f>
        <v>1</v>
      </c>
      <c r="BF11" s="59"/>
      <c r="BG11" s="59">
        <v>2012</v>
      </c>
      <c r="BH11" s="59"/>
      <c r="BI11" s="59"/>
    </row>
    <row r="12" spans="1:61" x14ac:dyDescent="0.35">
      <c r="A12" s="1" t="s">
        <v>11</v>
      </c>
      <c r="B12" s="1">
        <v>567</v>
      </c>
      <c r="C12" s="1">
        <v>321</v>
      </c>
      <c r="D12" s="1">
        <v>577</v>
      </c>
      <c r="E12" s="4">
        <f t="shared" si="0"/>
        <v>577</v>
      </c>
      <c r="H12" s="8">
        <v>12.2</v>
      </c>
      <c r="I12" s="8">
        <v>10</v>
      </c>
      <c r="V12">
        <f ca="1">DAY(TODAY())+10</f>
        <v>31</v>
      </c>
      <c r="W12">
        <f>HOUR(X6)</f>
        <v>15</v>
      </c>
      <c r="Z12">
        <f ca="1">MONTH(TODAY())</f>
        <v>7</v>
      </c>
      <c r="AG12" s="35">
        <f t="shared" si="1"/>
        <v>1</v>
      </c>
      <c r="AH12" s="35">
        <f>COUNTIF($AI$5:AI12,AI12)</f>
        <v>1</v>
      </c>
      <c r="AI12" s="35" t="s">
        <v>127</v>
      </c>
      <c r="AM12" s="36"/>
      <c r="AN12" s="36" t="s">
        <v>19</v>
      </c>
      <c r="AO12" s="36"/>
      <c r="BC12" s="59"/>
      <c r="BD12" s="59"/>
      <c r="BE12" s="59"/>
      <c r="BF12" s="59"/>
      <c r="BG12" s="59">
        <v>2013</v>
      </c>
      <c r="BH12" s="59"/>
      <c r="BI12" s="59"/>
    </row>
    <row r="13" spans="1:61" x14ac:dyDescent="0.35">
      <c r="A13" s="1" t="s">
        <v>12</v>
      </c>
      <c r="B13" s="1">
        <v>333</v>
      </c>
      <c r="C13" s="1">
        <v>311</v>
      </c>
      <c r="D13" s="1">
        <v>523</v>
      </c>
      <c r="E13" s="4">
        <f t="shared" si="0"/>
        <v>523</v>
      </c>
      <c r="H13" s="8">
        <v>12.9</v>
      </c>
      <c r="I13" s="8">
        <v>3</v>
      </c>
      <c r="Z13">
        <f ca="1">YEAR(TODAY())</f>
        <v>2025</v>
      </c>
      <c r="AG13" s="35">
        <f t="shared" si="1"/>
        <v>1</v>
      </c>
      <c r="AH13" s="35">
        <f>COUNTIF($AI$5:AI13,AI13)</f>
        <v>2</v>
      </c>
      <c r="AI13" s="35" t="s">
        <v>127</v>
      </c>
      <c r="AM13" s="36" t="s">
        <v>142</v>
      </c>
      <c r="AN13" s="36" t="str">
        <f>INDEX($AM$7:$AN$11,MATCH(AO7,$AN$7:$AN$11,0),1)</f>
        <v>Grey</v>
      </c>
      <c r="AO13" s="36"/>
      <c r="BC13" s="59"/>
      <c r="BD13" s="59"/>
      <c r="BE13" s="59"/>
      <c r="BF13" s="59"/>
      <c r="BG13" s="59">
        <v>2014</v>
      </c>
      <c r="BH13" s="59"/>
      <c r="BI13" s="59"/>
    </row>
    <row r="14" spans="1:61" x14ac:dyDescent="0.35">
      <c r="A14" s="1" t="s">
        <v>13</v>
      </c>
      <c r="B14" s="1">
        <v>1231</v>
      </c>
      <c r="C14" s="1">
        <v>325</v>
      </c>
      <c r="D14" s="1">
        <v>513</v>
      </c>
      <c r="E14" s="4">
        <f t="shared" si="0"/>
        <v>513</v>
      </c>
      <c r="H14" s="8">
        <v>-12.2</v>
      </c>
      <c r="I14" s="8"/>
      <c r="AG14" s="35">
        <f t="shared" si="1"/>
        <v>1</v>
      </c>
      <c r="AH14" s="35">
        <f>COUNTIF($AI$5:AI14,AI14)</f>
        <v>1</v>
      </c>
      <c r="AI14" s="35" t="s">
        <v>130</v>
      </c>
      <c r="BC14" s="59"/>
      <c r="BD14" s="59"/>
      <c r="BE14" s="59"/>
      <c r="BF14" s="59"/>
      <c r="BG14" s="59">
        <v>2015</v>
      </c>
      <c r="BH14" s="59"/>
      <c r="BI14" s="59"/>
    </row>
    <row r="15" spans="1:61" x14ac:dyDescent="0.35">
      <c r="V15" t="s">
        <v>45</v>
      </c>
      <c r="X15" t="s">
        <v>46</v>
      </c>
      <c r="Z15" t="s">
        <v>47</v>
      </c>
      <c r="AA15" t="s">
        <v>49</v>
      </c>
      <c r="AB15" t="s">
        <v>50</v>
      </c>
      <c r="AC15" t="s">
        <v>51</v>
      </c>
      <c r="AG15" s="35" t="e">
        <f t="shared" si="1"/>
        <v>#VALUE!</v>
      </c>
      <c r="AH15" s="35">
        <f>COUNTIF($AI$5:AI15,AI15)</f>
        <v>1</v>
      </c>
      <c r="AI15" s="35" t="s">
        <v>129</v>
      </c>
      <c r="AM15" s="36" t="s">
        <v>144</v>
      </c>
      <c r="AN15" s="38"/>
      <c r="AO15" s="66" t="s">
        <v>147</v>
      </c>
      <c r="AP15" s="67"/>
      <c r="AQ15" s="67"/>
      <c r="AR15" s="67"/>
      <c r="AS15" s="36"/>
      <c r="BC15" s="59"/>
      <c r="BD15" s="59"/>
      <c r="BE15" s="59"/>
      <c r="BF15" s="59"/>
      <c r="BG15" s="59">
        <v>2016</v>
      </c>
      <c r="BH15" s="59"/>
      <c r="BI15" s="59"/>
    </row>
    <row r="16" spans="1:61" x14ac:dyDescent="0.35">
      <c r="V16" s="12">
        <v>45664</v>
      </c>
      <c r="X16" s="13"/>
      <c r="Z16" s="12">
        <v>45845</v>
      </c>
      <c r="AA16" s="12">
        <v>45695</v>
      </c>
      <c r="AB16">
        <v>100</v>
      </c>
      <c r="AC16" s="12">
        <v>45723</v>
      </c>
      <c r="AD16" s="12"/>
      <c r="AE16" s="12"/>
      <c r="AF16" s="12"/>
      <c r="AG16" s="35">
        <f t="shared" si="1"/>
        <v>2</v>
      </c>
      <c r="AH16" s="35">
        <f>COUNTIF($AI$5:AI16,AI16)</f>
        <v>1</v>
      </c>
      <c r="AI16" s="35" t="s">
        <v>131</v>
      </c>
      <c r="AM16" s="36"/>
      <c r="AN16" s="38"/>
      <c r="AP16" s="41"/>
      <c r="AQ16" s="36"/>
      <c r="AR16" s="36"/>
      <c r="AS16" s="36"/>
    </row>
    <row r="17" spans="2:61" x14ac:dyDescent="0.35">
      <c r="B17" t="s">
        <v>16</v>
      </c>
      <c r="E17" t="s">
        <v>20</v>
      </c>
      <c r="V17" s="12">
        <v>45695</v>
      </c>
      <c r="Z17" s="13"/>
      <c r="AC17" s="15"/>
      <c r="AD17" s="15"/>
      <c r="AE17" s="15"/>
      <c r="AF17" s="15"/>
      <c r="AG17" s="35">
        <f t="shared" si="1"/>
        <v>2</v>
      </c>
      <c r="AH17" s="35">
        <f>COUNTIF($AI$5:AI17,AI17)</f>
        <v>2</v>
      </c>
      <c r="AI17" s="35" t="s">
        <v>120</v>
      </c>
      <c r="AM17" s="36" t="s">
        <v>145</v>
      </c>
      <c r="AN17" s="38" t="s">
        <v>146</v>
      </c>
      <c r="AP17" s="42" t="s">
        <v>148</v>
      </c>
      <c r="AQ17" s="36" t="s">
        <v>152</v>
      </c>
      <c r="AR17" s="36"/>
      <c r="AS17" s="36" t="s">
        <v>153</v>
      </c>
    </row>
    <row r="18" spans="2:61" x14ac:dyDescent="0.35">
      <c r="B18">
        <v>10</v>
      </c>
      <c r="E18">
        <f>SUM(B3:C3)+SUM(B4:C4)+AVERAGE(B5:C5)</f>
        <v>1428.5</v>
      </c>
      <c r="F18" s="6"/>
      <c r="G18" s="6"/>
      <c r="H18" s="7" t="s">
        <v>32</v>
      </c>
      <c r="I18" s="7" t="s">
        <v>21</v>
      </c>
      <c r="J18" s="7" t="s">
        <v>22</v>
      </c>
      <c r="K18" s="7" t="s">
        <v>26</v>
      </c>
      <c r="L18" s="7" t="s">
        <v>31</v>
      </c>
      <c r="N18" s="8" t="s">
        <v>27</v>
      </c>
      <c r="O18" s="8">
        <v>100</v>
      </c>
      <c r="P18" s="8">
        <v>1</v>
      </c>
      <c r="Q18" s="8">
        <v>10</v>
      </c>
      <c r="V18" s="12"/>
      <c r="Z18" s="13"/>
      <c r="AA18" s="12"/>
      <c r="AG18" s="35">
        <f t="shared" si="1"/>
        <v>2</v>
      </c>
      <c r="AH18" s="35">
        <f>COUNTIF($AI$5:AI18,AI18)</f>
        <v>1</v>
      </c>
      <c r="AI18" s="35" t="s">
        <v>132</v>
      </c>
      <c r="AM18" s="36">
        <v>110689</v>
      </c>
      <c r="AN18" s="38">
        <f>VLOOKUP(9.9999999E+307,$AM$18:$AM$22,1,TRUE)</f>
        <v>5654011</v>
      </c>
      <c r="AP18" s="41" t="s">
        <v>29</v>
      </c>
      <c r="AQ18" s="39">
        <v>41894</v>
      </c>
      <c r="AR18" s="36" t="s">
        <v>29</v>
      </c>
      <c r="AS18" s="40">
        <f t="array" ref="AS18">INDEX($AQ$18:$AQ$24,MAX(ROW($AQ$18:$AQ$24)*(AR18=$AP$18:$AP$24))-17)</f>
        <v>41896</v>
      </c>
    </row>
    <row r="19" spans="2:61" x14ac:dyDescent="0.35">
      <c r="B19">
        <v>20</v>
      </c>
      <c r="F19" s="6"/>
      <c r="G19" s="6"/>
      <c r="H19" s="7">
        <f>INT(H12)</f>
        <v>12</v>
      </c>
      <c r="I19" s="7">
        <f>MOD(I12,I13)</f>
        <v>1</v>
      </c>
      <c r="J19" s="7">
        <f ca="1">RAND()</f>
        <v>0.68856839993125518</v>
      </c>
      <c r="K19" s="7">
        <f>SUMIF(D7:D12,"&gt;300")</f>
        <v>3448</v>
      </c>
      <c r="L19" s="7">
        <f>SUMPRODUCT(O18:O21,P18:P21)</f>
        <v>4500</v>
      </c>
      <c r="N19" s="8" t="s">
        <v>28</v>
      </c>
      <c r="O19" s="8">
        <v>200</v>
      </c>
      <c r="P19" s="8">
        <v>2</v>
      </c>
      <c r="Q19" s="8">
        <v>20</v>
      </c>
      <c r="AG19" s="35">
        <f t="shared" si="1"/>
        <v>2</v>
      </c>
      <c r="AH19" s="35">
        <f>COUNTIF($AI$5:AI19,AI19)</f>
        <v>2</v>
      </c>
      <c r="AI19" s="35" t="s">
        <v>122</v>
      </c>
      <c r="AM19" s="36">
        <v>104609</v>
      </c>
      <c r="AN19" s="38"/>
      <c r="AP19" s="41" t="s">
        <v>149</v>
      </c>
      <c r="AQ19" s="39">
        <v>41895</v>
      </c>
      <c r="AR19" s="36"/>
      <c r="AS19" s="36"/>
    </row>
    <row r="20" spans="2:61" x14ac:dyDescent="0.35">
      <c r="B20">
        <v>30</v>
      </c>
      <c r="F20" s="6"/>
      <c r="G20" s="6"/>
      <c r="H20" s="7">
        <f>INT(H14)</f>
        <v>-13</v>
      </c>
      <c r="I20" s="7">
        <f>MOD(-3,2)</f>
        <v>1</v>
      </c>
      <c r="J20" s="7">
        <f ca="1">RAND()</f>
        <v>5.3910830551323063E-2</v>
      </c>
      <c r="K20" s="7">
        <f>SUMIF(N18:N21,"Tom",O18:O21)</f>
        <v>800</v>
      </c>
      <c r="L20" s="7">
        <f>SUMPRODUCT(O18:P21,P18:Q21)</f>
        <v>4800</v>
      </c>
      <c r="N20" s="8" t="s">
        <v>29</v>
      </c>
      <c r="O20" s="8">
        <v>400</v>
      </c>
      <c r="P20" s="8">
        <v>3</v>
      </c>
      <c r="Q20" s="8">
        <v>30</v>
      </c>
      <c r="V20" t="s">
        <v>48</v>
      </c>
      <c r="AG20" s="35" t="b">
        <f t="shared" si="1"/>
        <v>1</v>
      </c>
      <c r="AH20" s="35">
        <f>COUNTIF($AI$5:AI20,AI20)</f>
        <v>1</v>
      </c>
      <c r="AI20" s="35" t="s">
        <v>133</v>
      </c>
      <c r="AM20" s="36">
        <v>450018</v>
      </c>
      <c r="AN20" s="38"/>
      <c r="AP20" s="41" t="s">
        <v>29</v>
      </c>
      <c r="AQ20" s="39">
        <v>41896</v>
      </c>
      <c r="AR20" s="36"/>
      <c r="AS20" s="36"/>
      <c r="BC20" s="61" t="s">
        <v>225</v>
      </c>
      <c r="BD20" s="61"/>
      <c r="BE20" s="61"/>
      <c r="BF20" t="s">
        <v>226</v>
      </c>
      <c r="BG20" t="s">
        <v>227</v>
      </c>
    </row>
    <row r="21" spans="2:61" x14ac:dyDescent="0.35">
      <c r="B21">
        <v>40</v>
      </c>
      <c r="F21" s="6"/>
      <c r="G21" s="6"/>
      <c r="H21" s="7"/>
      <c r="I21" s="7">
        <f>MOD(3,-2)</f>
        <v>-1</v>
      </c>
      <c r="J21" s="7"/>
      <c r="K21" s="7">
        <f>SUMIF(N18:N21,"*a*",O18:O21)</f>
        <v>600</v>
      </c>
      <c r="L21" s="7"/>
      <c r="N21" s="8" t="s">
        <v>27</v>
      </c>
      <c r="O21" s="8">
        <v>700</v>
      </c>
      <c r="P21" s="8">
        <v>4</v>
      </c>
      <c r="Q21" s="8">
        <v>40</v>
      </c>
      <c r="V21">
        <f>NETWORKDAYS(V16,X16)</f>
        <v>-32617</v>
      </c>
      <c r="AD21">
        <f>IF(COUNTIF(AF21:AF21,AF21)=1,AH20+1,AH20)</f>
        <v>1</v>
      </c>
      <c r="AM21" s="36">
        <v>886787</v>
      </c>
      <c r="AN21" s="38"/>
      <c r="AP21" s="41" t="s">
        <v>28</v>
      </c>
      <c r="AQ21" s="39">
        <v>41897</v>
      </c>
      <c r="AR21" s="36"/>
      <c r="AS21" s="36"/>
      <c r="BC21" t="s">
        <v>228</v>
      </c>
      <c r="BF21" t="s">
        <v>213</v>
      </c>
      <c r="BG21">
        <v>906</v>
      </c>
      <c r="BI21" t="s">
        <v>234</v>
      </c>
    </row>
    <row r="22" spans="2:61" x14ac:dyDescent="0.35">
      <c r="F22" s="6"/>
      <c r="G22" s="6"/>
      <c r="H22" s="7"/>
      <c r="I22" s="7"/>
      <c r="J22" s="7"/>
      <c r="K22" s="7"/>
      <c r="L22" s="7"/>
      <c r="AM22" s="36">
        <v>5654011</v>
      </c>
      <c r="AN22" s="38"/>
      <c r="AP22" s="41" t="s">
        <v>28</v>
      </c>
      <c r="AQ22" s="39">
        <v>41898</v>
      </c>
      <c r="AR22" s="36"/>
      <c r="AS22" s="36"/>
      <c r="BC22" t="s">
        <v>229</v>
      </c>
      <c r="BF22" t="s">
        <v>233</v>
      </c>
      <c r="BG22">
        <v>233</v>
      </c>
      <c r="BI22" t="s">
        <v>234</v>
      </c>
    </row>
    <row r="23" spans="2:61" x14ac:dyDescent="0.35">
      <c r="B23">
        <v>50</v>
      </c>
      <c r="F23" s="6"/>
      <c r="G23" s="6"/>
      <c r="H23" s="7" t="s">
        <v>23</v>
      </c>
      <c r="I23" s="7" t="s">
        <v>24</v>
      </c>
      <c r="J23" s="7" t="s">
        <v>25</v>
      </c>
      <c r="K23" s="7" t="s">
        <v>30</v>
      </c>
      <c r="L23" s="7"/>
      <c r="AE23" s="36"/>
      <c r="AF23" s="36"/>
      <c r="AG23" s="36"/>
      <c r="AH23" s="36"/>
      <c r="AI23" s="36"/>
      <c r="AP23" s="41" t="s">
        <v>150</v>
      </c>
      <c r="AQ23" s="39">
        <v>41900</v>
      </c>
      <c r="AR23" s="36"/>
      <c r="AS23" s="36"/>
      <c r="BC23" t="s">
        <v>230</v>
      </c>
      <c r="BF23" t="s">
        <v>233</v>
      </c>
      <c r="BG23">
        <v>991</v>
      </c>
      <c r="BI23" t="s">
        <v>234</v>
      </c>
    </row>
    <row r="24" spans="2:61" x14ac:dyDescent="0.35">
      <c r="B24">
        <v>60</v>
      </c>
      <c r="F24" s="6"/>
      <c r="G24" s="6"/>
      <c r="H24" s="7">
        <f ca="1">RANDBETWEEN($C$14,$D$14)</f>
        <v>329</v>
      </c>
      <c r="I24" s="7">
        <f>ROUND(234.33,1)</f>
        <v>234.3</v>
      </c>
      <c r="J24" s="7">
        <f>SUM(H12:H13,I12:I13)</f>
        <v>38.1</v>
      </c>
      <c r="K24" s="7">
        <f>SUMIFS(O18:O21,O18:O21,"&gt;100",O18:O21,"&lt;600")</f>
        <v>600</v>
      </c>
      <c r="L24" s="7"/>
      <c r="AE24" s="67" t="s">
        <v>118</v>
      </c>
      <c r="AF24" s="67"/>
      <c r="AG24" s="67"/>
      <c r="AH24" s="36" t="s">
        <v>119</v>
      </c>
      <c r="AI24" s="36"/>
      <c r="AP24" s="41" t="s">
        <v>151</v>
      </c>
      <c r="AQ24" s="39">
        <v>41904</v>
      </c>
      <c r="AR24" s="36"/>
      <c r="AS24" s="36"/>
      <c r="BC24" t="s">
        <v>228</v>
      </c>
      <c r="BF24" t="s">
        <v>213</v>
      </c>
      <c r="BG24">
        <v>430</v>
      </c>
      <c r="BI24" t="s">
        <v>234</v>
      </c>
    </row>
    <row r="25" spans="2:61" x14ac:dyDescent="0.35">
      <c r="B25">
        <v>70</v>
      </c>
      <c r="F25" s="6"/>
      <c r="G25" s="6"/>
      <c r="H25" s="7">
        <f ca="1">RANDBETWEEN(100,1000)</f>
        <v>802</v>
      </c>
      <c r="I25" s="7">
        <f>ROUND(434.54,-2)</f>
        <v>400</v>
      </c>
      <c r="J25" s="7">
        <f>SUM("10",10,10,TRUE)</f>
        <v>31</v>
      </c>
      <c r="K25" s="7">
        <f>SUMIFS(O18:O21,N18:N21,"*a*",N18:N21,"J*")</f>
        <v>200</v>
      </c>
      <c r="L25" s="7"/>
      <c r="AE25" s="36" t="s">
        <v>120</v>
      </c>
      <c r="AF25" s="36" t="s">
        <v>120</v>
      </c>
      <c r="AG25" s="36"/>
      <c r="AH25" s="36" t="b">
        <f>AF25=AE25</f>
        <v>1</v>
      </c>
      <c r="AI25" s="36" t="str">
        <f>IF(AF25=AE25,"Matches","Do Not Matcch")</f>
        <v>Matches</v>
      </c>
      <c r="BC25" t="s">
        <v>231</v>
      </c>
      <c r="BF25" t="s">
        <v>233</v>
      </c>
      <c r="BG25">
        <v>538</v>
      </c>
      <c r="BI25" t="s">
        <v>234</v>
      </c>
    </row>
    <row r="26" spans="2:61" x14ac:dyDescent="0.35">
      <c r="B26">
        <v>80</v>
      </c>
      <c r="F26" s="6"/>
      <c r="G26" s="6"/>
      <c r="H26" s="7">
        <f ca="1">RANDBETWEEN(255,555)</f>
        <v>435</v>
      </c>
      <c r="I26" s="7"/>
      <c r="J26" s="7"/>
      <c r="K26" s="7"/>
      <c r="L26" s="7"/>
      <c r="AE26" s="36" t="s">
        <v>121</v>
      </c>
      <c r="AF26" s="36" t="s">
        <v>121</v>
      </c>
      <c r="AG26" s="36"/>
      <c r="AH26" s="36" t="b">
        <f t="shared" ref="AH26:AH32" si="2">AF26=AE26</f>
        <v>1</v>
      </c>
      <c r="AI26" s="36" t="str">
        <f t="shared" ref="AI26:AI32" si="3">IF(AF26=AE26,"Matches","Do Not Matcch")</f>
        <v>Matches</v>
      </c>
      <c r="BC26" t="s">
        <v>232</v>
      </c>
      <c r="BF26" t="s">
        <v>233</v>
      </c>
      <c r="BG26">
        <v>423</v>
      </c>
    </row>
    <row r="27" spans="2:61" x14ac:dyDescent="0.35">
      <c r="B27">
        <v>90</v>
      </c>
      <c r="F27" s="6"/>
      <c r="G27" s="6"/>
      <c r="AE27" s="36" t="s">
        <v>122</v>
      </c>
      <c r="AF27" s="36" t="s">
        <v>122</v>
      </c>
      <c r="AG27" s="36"/>
      <c r="AH27" s="36" t="b">
        <f t="shared" si="2"/>
        <v>1</v>
      </c>
      <c r="AI27" s="36" t="str">
        <f t="shared" si="3"/>
        <v>Matches</v>
      </c>
      <c r="AO27" s="67" t="s">
        <v>154</v>
      </c>
      <c r="AP27" s="67"/>
      <c r="AQ27" s="67"/>
      <c r="AR27" s="36"/>
      <c r="AS27" s="36"/>
      <c r="AT27" s="36"/>
      <c r="AU27" s="36"/>
      <c r="AV27" s="36"/>
      <c r="AW27" s="36"/>
      <c r="AX27" s="36"/>
      <c r="AY27" s="36"/>
      <c r="AZ27" s="36"/>
      <c r="BA27" s="36"/>
    </row>
    <row r="28" spans="2:61" x14ac:dyDescent="0.35">
      <c r="B28">
        <v>100</v>
      </c>
      <c r="F28" s="6"/>
      <c r="G28" s="6"/>
      <c r="AE28" s="36" t="s">
        <v>123</v>
      </c>
      <c r="AF28" s="36" t="s">
        <v>123</v>
      </c>
      <c r="AG28" s="36"/>
      <c r="AH28" s="36" t="b">
        <f t="shared" si="2"/>
        <v>1</v>
      </c>
      <c r="AI28" s="36" t="str">
        <f t="shared" si="3"/>
        <v>Matches</v>
      </c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</row>
    <row r="29" spans="2:61" x14ac:dyDescent="0.35">
      <c r="F29" s="6"/>
      <c r="G29" s="6"/>
      <c r="H29" s="17" t="s">
        <v>53</v>
      </c>
      <c r="I29" s="17"/>
      <c r="J29" s="17"/>
      <c r="K29" s="17"/>
      <c r="L29" s="17"/>
      <c r="M29" s="17"/>
      <c r="P29" s="29"/>
      <c r="Q29" s="22" t="s">
        <v>74</v>
      </c>
      <c r="R29" s="21"/>
      <c r="S29" s="21"/>
      <c r="T29" s="21"/>
      <c r="V29" s="8"/>
      <c r="W29" s="68" t="s">
        <v>97</v>
      </c>
      <c r="X29" s="68"/>
      <c r="Y29" s="68"/>
      <c r="Z29" s="8"/>
      <c r="AA29" s="8"/>
      <c r="AB29" s="8"/>
      <c r="AE29" s="36" t="s">
        <v>124</v>
      </c>
      <c r="AF29" s="36" t="s">
        <v>124</v>
      </c>
      <c r="AG29" s="36"/>
      <c r="AH29" s="36" t="b">
        <f t="shared" si="2"/>
        <v>1</v>
      </c>
      <c r="AI29" s="36" t="str">
        <f t="shared" si="3"/>
        <v>Matches</v>
      </c>
      <c r="AO29" s="36" t="s">
        <v>155</v>
      </c>
      <c r="AP29" s="36" t="s">
        <v>156</v>
      </c>
      <c r="AQ29" s="36" t="s">
        <v>157</v>
      </c>
      <c r="AR29" s="36" t="s">
        <v>4</v>
      </c>
      <c r="AS29" s="36" t="s">
        <v>158</v>
      </c>
      <c r="AT29" s="36" t="s">
        <v>6</v>
      </c>
      <c r="AU29" s="36" t="s">
        <v>159</v>
      </c>
      <c r="AV29" s="36" t="s">
        <v>160</v>
      </c>
      <c r="AW29" s="36" t="s">
        <v>161</v>
      </c>
      <c r="AX29" s="36" t="s">
        <v>162</v>
      </c>
      <c r="AY29" s="36" t="s">
        <v>163</v>
      </c>
      <c r="AZ29" s="36" t="s">
        <v>164</v>
      </c>
      <c r="BA29" s="36" t="s">
        <v>165</v>
      </c>
    </row>
    <row r="30" spans="2:61" x14ac:dyDescent="0.35">
      <c r="B30">
        <v>100</v>
      </c>
      <c r="F30" s="6"/>
      <c r="G30" s="6"/>
      <c r="H30" s="17" t="s">
        <v>52</v>
      </c>
      <c r="I30" s="16"/>
      <c r="J30" s="17" t="s">
        <v>55</v>
      </c>
      <c r="K30" s="17"/>
      <c r="L30" s="16"/>
      <c r="M30" s="17" t="s">
        <v>55</v>
      </c>
      <c r="P30" s="21"/>
      <c r="Q30" s="21"/>
      <c r="R30" s="21"/>
      <c r="S30" s="21"/>
      <c r="T30" s="21"/>
      <c r="V30" s="8"/>
      <c r="W30" s="8" t="s">
        <v>75</v>
      </c>
      <c r="X30" s="8"/>
      <c r="Y30" s="8"/>
      <c r="Z30" s="8"/>
      <c r="AA30" s="8"/>
      <c r="AB30" s="8"/>
      <c r="AE30" s="36" t="s">
        <v>125</v>
      </c>
      <c r="AF30" s="36" t="s">
        <v>125</v>
      </c>
      <c r="AG30" s="36"/>
      <c r="AH30" s="36" t="b">
        <f t="shared" si="2"/>
        <v>1</v>
      </c>
      <c r="AI30" s="36" t="str">
        <f t="shared" si="3"/>
        <v>Matches</v>
      </c>
      <c r="AO30" s="36" t="s">
        <v>136</v>
      </c>
      <c r="AP30" s="36">
        <v>7854</v>
      </c>
      <c r="AQ30" s="36">
        <v>8907</v>
      </c>
      <c r="AR30" s="36">
        <v>9090</v>
      </c>
      <c r="AS30" s="36">
        <v>7890</v>
      </c>
      <c r="AT30" s="36">
        <v>6789</v>
      </c>
      <c r="AU30" s="36">
        <v>5556</v>
      </c>
      <c r="AV30" s="36">
        <v>4678</v>
      </c>
      <c r="AW30" s="36">
        <v>3214</v>
      </c>
      <c r="AX30" s="36">
        <v>2134</v>
      </c>
      <c r="AY30" s="36">
        <v>3456</v>
      </c>
      <c r="AZ30" s="36">
        <v>1289</v>
      </c>
      <c r="BA30" s="36">
        <v>9871</v>
      </c>
    </row>
    <row r="31" spans="2:61" x14ac:dyDescent="0.35">
      <c r="B31" t="s">
        <v>17</v>
      </c>
      <c r="C31" t="s">
        <v>18</v>
      </c>
      <c r="F31" s="6"/>
      <c r="G31" s="6"/>
      <c r="H31" s="17">
        <v>10</v>
      </c>
      <c r="I31" s="16"/>
      <c r="J31" s="17" t="s">
        <v>27</v>
      </c>
      <c r="K31" s="17">
        <v>10</v>
      </c>
      <c r="L31" s="16"/>
      <c r="M31" s="17">
        <v>1</v>
      </c>
      <c r="P31" s="21"/>
      <c r="Q31" s="22" t="s">
        <v>75</v>
      </c>
      <c r="R31" s="22" t="s">
        <v>75</v>
      </c>
      <c r="S31" s="21"/>
      <c r="T31" s="22" t="s">
        <v>82</v>
      </c>
      <c r="V31" s="8"/>
      <c r="W31" s="32" t="s">
        <v>98</v>
      </c>
      <c r="X31" s="32" t="s">
        <v>99</v>
      </c>
      <c r="Y31" s="32" t="s">
        <v>100</v>
      </c>
      <c r="Z31" s="8"/>
      <c r="AA31" s="8"/>
      <c r="AB31" s="8"/>
      <c r="AE31" s="36" t="s">
        <v>126</v>
      </c>
      <c r="AF31" s="36" t="s">
        <v>126</v>
      </c>
      <c r="AG31" s="36"/>
      <c r="AH31" s="36" t="b">
        <f t="shared" si="2"/>
        <v>1</v>
      </c>
      <c r="AI31" s="36" t="str">
        <f t="shared" si="3"/>
        <v>Matches</v>
      </c>
      <c r="AO31" s="36" t="s">
        <v>166</v>
      </c>
      <c r="AP31" s="36">
        <v>3454</v>
      </c>
      <c r="AQ31" s="36">
        <v>8897</v>
      </c>
      <c r="AR31" s="36">
        <v>9087</v>
      </c>
      <c r="AS31" s="36">
        <v>7896</v>
      </c>
      <c r="AT31" s="36">
        <v>6890</v>
      </c>
      <c r="AU31" s="36">
        <v>5546</v>
      </c>
      <c r="AV31" s="36">
        <v>4908</v>
      </c>
      <c r="AW31" s="36">
        <v>3112</v>
      </c>
      <c r="AX31" s="36">
        <v>2144</v>
      </c>
      <c r="AY31" s="36">
        <v>3567</v>
      </c>
      <c r="AZ31" s="36">
        <v>1278</v>
      </c>
      <c r="BA31" s="36">
        <v>9821</v>
      </c>
    </row>
    <row r="32" spans="2:61" x14ac:dyDescent="0.35">
      <c r="B32">
        <f>B18/$B$30</f>
        <v>0.1</v>
      </c>
      <c r="C32">
        <f>B18/B30</f>
        <v>0.1</v>
      </c>
      <c r="F32" s="6"/>
      <c r="G32" s="6"/>
      <c r="H32" s="17">
        <v>12</v>
      </c>
      <c r="I32" s="16"/>
      <c r="J32" s="17" t="s">
        <v>28</v>
      </c>
      <c r="K32" s="17">
        <v>12</v>
      </c>
      <c r="L32" s="16"/>
      <c r="M32" s="17">
        <v>2</v>
      </c>
      <c r="P32" s="21"/>
      <c r="Q32" s="22" t="s">
        <v>76</v>
      </c>
      <c r="R32" s="22" t="s">
        <v>78</v>
      </c>
      <c r="S32" s="21"/>
      <c r="T32" s="22" t="s">
        <v>83</v>
      </c>
      <c r="V32" s="8"/>
      <c r="W32" s="32" t="s">
        <v>29</v>
      </c>
      <c r="X32" s="32" t="s">
        <v>101</v>
      </c>
      <c r="Y32" s="32">
        <v>1000</v>
      </c>
      <c r="Z32" s="8"/>
      <c r="AA32" s="8"/>
      <c r="AB32" s="8"/>
      <c r="AE32" s="36" t="s">
        <v>127</v>
      </c>
      <c r="AF32" s="36" t="s">
        <v>127</v>
      </c>
      <c r="AG32" s="36"/>
      <c r="AH32" s="36" t="b">
        <f t="shared" si="2"/>
        <v>1</v>
      </c>
      <c r="AI32" s="36" t="str">
        <f t="shared" si="3"/>
        <v>Matches</v>
      </c>
      <c r="AO32" s="36" t="s">
        <v>167</v>
      </c>
      <c r="AP32" s="36">
        <v>2234</v>
      </c>
      <c r="AQ32" s="36">
        <v>8675</v>
      </c>
      <c r="AR32" s="36">
        <v>9086</v>
      </c>
      <c r="AS32" s="36">
        <v>7895</v>
      </c>
      <c r="AT32" s="36">
        <v>6785</v>
      </c>
      <c r="AU32" s="36">
        <v>5432</v>
      </c>
      <c r="AV32" s="36">
        <v>4879</v>
      </c>
      <c r="AW32" s="36">
        <v>3412</v>
      </c>
      <c r="AX32" s="36">
        <v>2155</v>
      </c>
      <c r="AY32" s="36">
        <v>3788</v>
      </c>
      <c r="AZ32" s="36">
        <v>1267</v>
      </c>
      <c r="BA32" s="36">
        <v>9831</v>
      </c>
    </row>
    <row r="33" spans="2:53" x14ac:dyDescent="0.35">
      <c r="B33">
        <f>B19/$B$30</f>
        <v>0.2</v>
      </c>
      <c r="C33" t="e">
        <f>B19/B31</f>
        <v>#VALUE!</v>
      </c>
      <c r="F33" s="6"/>
      <c r="G33" s="6"/>
      <c r="H33" s="17">
        <v>15</v>
      </c>
      <c r="I33" s="16"/>
      <c r="J33" s="17" t="s">
        <v>29</v>
      </c>
      <c r="K33" s="17">
        <v>15</v>
      </c>
      <c r="L33" s="16"/>
      <c r="M33" s="17"/>
      <c r="P33" s="21"/>
      <c r="Q33" s="21"/>
      <c r="R33" s="21"/>
      <c r="S33" s="21"/>
      <c r="T33" s="21"/>
      <c r="V33" s="8"/>
      <c r="W33" s="32" t="s">
        <v>28</v>
      </c>
      <c r="X33" s="32" t="s">
        <v>102</v>
      </c>
      <c r="Y33" s="32">
        <v>2000</v>
      </c>
      <c r="Z33" s="8"/>
      <c r="AA33" s="8"/>
      <c r="AB33" s="8"/>
      <c r="AO33" s="36" t="s">
        <v>168</v>
      </c>
      <c r="AP33" s="36">
        <v>6512</v>
      </c>
      <c r="AQ33" s="36">
        <v>8884</v>
      </c>
      <c r="AR33" s="36">
        <v>9085</v>
      </c>
      <c r="AS33" s="36">
        <v>7894</v>
      </c>
      <c r="AT33" s="36">
        <v>6743</v>
      </c>
      <c r="AU33" s="36">
        <v>5465</v>
      </c>
      <c r="AV33" s="36">
        <v>4000</v>
      </c>
      <c r="AW33" s="36">
        <v>3521</v>
      </c>
      <c r="AX33" s="36">
        <v>2189</v>
      </c>
      <c r="AY33" s="36">
        <v>3890</v>
      </c>
      <c r="AZ33" s="36">
        <v>1256</v>
      </c>
      <c r="BA33" s="36">
        <v>9841</v>
      </c>
    </row>
    <row r="34" spans="2:53" x14ac:dyDescent="0.35">
      <c r="B34">
        <f>B20/$B$30</f>
        <v>0.3</v>
      </c>
      <c r="C34">
        <f>B20/B32</f>
        <v>300</v>
      </c>
      <c r="F34" s="6"/>
      <c r="G34" s="6"/>
      <c r="H34" s="17"/>
      <c r="I34" s="16"/>
      <c r="J34" s="17" t="s">
        <v>27</v>
      </c>
      <c r="K34" s="17">
        <v>12</v>
      </c>
      <c r="L34" s="16"/>
      <c r="M34" s="17" t="s">
        <v>65</v>
      </c>
      <c r="P34" s="21"/>
      <c r="Q34" s="22" t="s">
        <v>77</v>
      </c>
      <c r="R34" s="22" t="s">
        <v>79</v>
      </c>
      <c r="S34" s="23" t="s">
        <v>80</v>
      </c>
      <c r="T34" s="22" t="s">
        <v>81</v>
      </c>
      <c r="U34" s="30"/>
      <c r="V34" s="31"/>
      <c r="W34" s="32" t="s">
        <v>27</v>
      </c>
      <c r="X34" s="32" t="s">
        <v>103</v>
      </c>
      <c r="Y34" s="32">
        <v>3000</v>
      </c>
      <c r="Z34" s="8"/>
      <c r="AA34" s="8"/>
      <c r="AB34" s="8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</row>
    <row r="35" spans="2:53" ht="15" thickBot="1" x14ac:dyDescent="0.4">
      <c r="B35">
        <f>B21/$B$30</f>
        <v>0.4</v>
      </c>
      <c r="C35">
        <f>B21/B33</f>
        <v>200</v>
      </c>
      <c r="F35" s="6"/>
      <c r="G35" s="6"/>
      <c r="H35" s="17">
        <v>0</v>
      </c>
      <c r="I35" s="16"/>
      <c r="J35" s="17" t="s">
        <v>27</v>
      </c>
      <c r="K35" s="17">
        <v>0</v>
      </c>
      <c r="L35" s="16"/>
      <c r="M35" s="18" t="e">
        <f>10/0</f>
        <v>#DIV/0!</v>
      </c>
      <c r="P35" s="21"/>
      <c r="Q35" s="22" t="str">
        <f>LEFT(Q32,2)</f>
        <v>He</v>
      </c>
      <c r="R35" s="22" t="str">
        <f>MID(R32,7,5)</f>
        <v>Excel</v>
      </c>
      <c r="S35" s="23">
        <f>LEN(R32)</f>
        <v>11</v>
      </c>
      <c r="T35" s="22" t="str">
        <f>LOWER(T32)</f>
        <v>hello</v>
      </c>
      <c r="V35" s="8"/>
      <c r="W35" s="8"/>
      <c r="X35" s="8"/>
      <c r="Y35" s="8"/>
      <c r="Z35" s="8"/>
      <c r="AA35" s="8"/>
      <c r="AB35" s="8"/>
      <c r="AO35" s="36"/>
      <c r="AP35" s="43"/>
      <c r="AQ35" s="43"/>
      <c r="AR35" s="36"/>
      <c r="AS35" s="36"/>
      <c r="AT35" s="36"/>
      <c r="AU35" s="36"/>
      <c r="AV35" s="36"/>
      <c r="AW35" s="36"/>
      <c r="AX35" s="36"/>
      <c r="AY35" s="36"/>
      <c r="AZ35" s="36"/>
      <c r="BA35" s="36"/>
    </row>
    <row r="36" spans="2:53" x14ac:dyDescent="0.35">
      <c r="B36">
        <f t="shared" ref="B36:B42" si="4">B23/$B$30</f>
        <v>0.5</v>
      </c>
      <c r="C36">
        <f>B23/B34</f>
        <v>166.66666666666669</v>
      </c>
      <c r="E36" t="s">
        <v>19</v>
      </c>
      <c r="F36" s="6"/>
      <c r="G36" s="6"/>
      <c r="H36" s="16" t="s">
        <v>54</v>
      </c>
      <c r="I36" s="16"/>
      <c r="J36" s="16" t="s">
        <v>56</v>
      </c>
      <c r="K36" s="16"/>
      <c r="L36" s="16"/>
      <c r="M36" s="19">
        <v>45719</v>
      </c>
      <c r="P36" s="21"/>
      <c r="Q36" s="22" t="str">
        <f>RIGHT(Q32,2)</f>
        <v>lo</v>
      </c>
      <c r="R36" s="22" t="str">
        <f>MID(R32,15,5)</f>
        <v/>
      </c>
      <c r="S36" s="23">
        <f>LEN("123")</f>
        <v>3</v>
      </c>
      <c r="T36" s="22" t="str">
        <f>LOWER(Q32)</f>
        <v>hello</v>
      </c>
      <c r="V36" s="8"/>
      <c r="W36" s="32" t="s">
        <v>104</v>
      </c>
      <c r="X36" s="8"/>
      <c r="Y36" s="8"/>
      <c r="Z36" s="8"/>
      <c r="AA36" s="8"/>
      <c r="AB36" s="8"/>
      <c r="AO36" s="38"/>
      <c r="AP36" s="44"/>
      <c r="AQ36" s="45" t="s">
        <v>156</v>
      </c>
      <c r="AR36" s="41"/>
      <c r="AS36" s="36"/>
      <c r="AT36" s="36"/>
      <c r="AU36" s="36"/>
      <c r="AV36" s="36"/>
      <c r="AW36" s="36"/>
      <c r="AX36" s="36"/>
      <c r="AY36" s="36"/>
      <c r="AZ36" s="36"/>
      <c r="BA36" s="36"/>
    </row>
    <row r="37" spans="2:53" ht="15" thickBot="1" x14ac:dyDescent="0.4">
      <c r="B37">
        <f t="shared" si="4"/>
        <v>0.6</v>
      </c>
      <c r="C37">
        <f t="shared" ref="C37:C41" si="5">B24/B35</f>
        <v>150</v>
      </c>
      <c r="F37" s="6"/>
      <c r="G37" s="6"/>
      <c r="H37" s="16">
        <f>AVERAGE(H31,H32)</f>
        <v>11</v>
      </c>
      <c r="I37" s="16"/>
      <c r="J37" s="16">
        <f>AVERAGEIF(J31:J35,"Tom",K31:K35)</f>
        <v>7.333333333333333</v>
      </c>
      <c r="K37" s="16"/>
      <c r="L37" s="16"/>
      <c r="M37" s="16" t="s">
        <v>66</v>
      </c>
      <c r="P37" s="21"/>
      <c r="Q37" s="22" t="str">
        <f>LEFT(Q32)</f>
        <v>H</v>
      </c>
      <c r="R37" s="22" t="str">
        <f>MID(R32,1,15)</f>
        <v>Trump Excel</v>
      </c>
      <c r="S37" s="21"/>
      <c r="T37" s="22" t="str">
        <f>UPPER(T32)</f>
        <v>HELLO</v>
      </c>
      <c r="V37" s="8"/>
      <c r="W37" s="32" t="str">
        <f>VLOOKUP("Tom",W32:Y34,2,FALSE)</f>
        <v>Q3 2012</v>
      </c>
      <c r="X37" s="8"/>
      <c r="Y37" s="8"/>
      <c r="Z37" s="8"/>
      <c r="AA37" s="8"/>
      <c r="AB37" s="8"/>
      <c r="AE37" s="67" t="s">
        <v>128</v>
      </c>
      <c r="AF37" s="67"/>
      <c r="AG37" s="67"/>
      <c r="AH37" s="67"/>
      <c r="AO37" s="38"/>
      <c r="AP37" s="46" t="s">
        <v>166</v>
      </c>
      <c r="AQ37" s="47">
        <f>INDEX($AP$30:$BA$33,MATCH(AP37,AO30:AO33,0),MATCH(AQ36,AP29:BA29,0))</f>
        <v>3454</v>
      </c>
      <c r="AR37" s="41"/>
      <c r="AS37" s="36"/>
      <c r="AT37" s="36"/>
      <c r="AU37" s="36"/>
      <c r="AV37" s="36"/>
      <c r="AW37" s="36"/>
      <c r="AX37" s="36"/>
      <c r="AY37" s="36"/>
      <c r="AZ37" s="36"/>
      <c r="BA37" s="36"/>
    </row>
    <row r="38" spans="2:53" x14ac:dyDescent="0.35">
      <c r="B38">
        <f t="shared" si="4"/>
        <v>0.7</v>
      </c>
      <c r="C38">
        <f t="shared" si="5"/>
        <v>140</v>
      </c>
      <c r="F38" s="6"/>
      <c r="G38" s="6"/>
      <c r="H38" s="16">
        <f>AVERAGE(H32,H33,20)</f>
        <v>15.666666666666666</v>
      </c>
      <c r="I38" s="16"/>
      <c r="J38" s="16">
        <f>AVERAGEIF(J31:J35,"*a*",K31:K35)</f>
        <v>13.5</v>
      </c>
      <c r="K38" s="16"/>
      <c r="L38" s="16"/>
      <c r="M38" s="16">
        <f>COUNT(M31:M36)</f>
        <v>3</v>
      </c>
      <c r="P38" s="21"/>
      <c r="Q38" s="22" t="str">
        <f>RIGHT(Q32)</f>
        <v>o</v>
      </c>
      <c r="R38" s="22" t="e">
        <f>MID(R32,-1,15)</f>
        <v>#VALUE!</v>
      </c>
      <c r="S38" s="21"/>
      <c r="T38" s="22" t="str">
        <f>UPPER(Q32)</f>
        <v>HELLO</v>
      </c>
      <c r="V38" s="8"/>
      <c r="W38" s="32">
        <f>VLOOKUP("Tom",W32:Y34,3,FALSE)</f>
        <v>3000</v>
      </c>
      <c r="X38" s="8"/>
      <c r="Y38" s="8"/>
      <c r="Z38" s="8"/>
      <c r="AA38" s="8"/>
      <c r="AB38" s="8"/>
      <c r="AE38" s="36"/>
      <c r="AF38" s="36"/>
      <c r="AG38" s="36"/>
      <c r="AH38" s="36"/>
    </row>
    <row r="39" spans="2:53" x14ac:dyDescent="0.35">
      <c r="B39">
        <f t="shared" si="4"/>
        <v>0.8</v>
      </c>
      <c r="C39">
        <f t="shared" si="5"/>
        <v>133.33333333333334</v>
      </c>
      <c r="F39" s="6"/>
      <c r="G39" s="6"/>
      <c r="H39" s="16">
        <f>AVERAGE(H31:H34)</f>
        <v>12.333333333333334</v>
      </c>
      <c r="I39" s="16"/>
      <c r="J39" s="16">
        <f>AVERAGEIF(K31:K35,"&gt;10")</f>
        <v>13</v>
      </c>
      <c r="K39" s="16"/>
      <c r="L39" s="16"/>
      <c r="M39" s="16">
        <f>COUNTA(M31:M36)</f>
        <v>5</v>
      </c>
      <c r="P39" s="21"/>
      <c r="Q39" s="22" t="str">
        <f>LEFT(Q32,8)</f>
        <v>Hello</v>
      </c>
      <c r="R39" s="22" t="e">
        <f>MID(R32,1,-1)</f>
        <v>#VALUE!</v>
      </c>
      <c r="S39" s="21"/>
      <c r="T39" s="22" t="str">
        <f>LOWER("123@!")</f>
        <v>123@!</v>
      </c>
      <c r="V39" s="8"/>
      <c r="W39" s="32">
        <f>VLOOKUP(1500,Y32:Y34,1,TRUE)</f>
        <v>1000</v>
      </c>
      <c r="X39" s="8"/>
      <c r="Y39" s="8"/>
      <c r="Z39" s="68" t="s">
        <v>111</v>
      </c>
      <c r="AA39" s="68"/>
      <c r="AB39" s="8"/>
      <c r="AE39" s="36" t="s">
        <v>120</v>
      </c>
      <c r="AF39" s="36" t="s">
        <v>127</v>
      </c>
      <c r="AG39" s="36" t="str">
        <f>IFERROR(VLOOKUP(AE39,$AF$39:$AF$45,1,FALSE),"")</f>
        <v>Australia</v>
      </c>
      <c r="AH39" s="36">
        <f>IFERROR(MATCH(AE39,AF39:AF46,0),"")</f>
        <v>5</v>
      </c>
    </row>
    <row r="40" spans="2:53" x14ac:dyDescent="0.35">
      <c r="B40">
        <f t="shared" si="4"/>
        <v>0.9</v>
      </c>
      <c r="C40">
        <f t="shared" si="5"/>
        <v>128.57142857142858</v>
      </c>
      <c r="F40" s="6"/>
      <c r="G40" s="6"/>
      <c r="H40" s="16">
        <f>AVERAGE(H31:H35)</f>
        <v>9.25</v>
      </c>
      <c r="I40" s="16"/>
      <c r="J40" s="16"/>
      <c r="K40" s="16"/>
      <c r="L40" s="16"/>
      <c r="M40" s="16">
        <f>COUNTBLANK(M31:M36)</f>
        <v>1</v>
      </c>
      <c r="P40" s="21"/>
      <c r="Q40" s="22" t="str">
        <f>RIGHT(Q32,8)</f>
        <v>Hello</v>
      </c>
      <c r="R40" s="22"/>
      <c r="S40" s="21"/>
      <c r="T40" s="21"/>
      <c r="V40" s="8"/>
      <c r="W40" s="32" t="e">
        <f>VLOOKUP(1500,Y32:Y34,1,FALSE)</f>
        <v>#N/A</v>
      </c>
      <c r="X40" s="8"/>
      <c r="Y40" s="8"/>
      <c r="Z40" s="32">
        <v>3</v>
      </c>
      <c r="AA40" s="32"/>
      <c r="AB40" s="8"/>
      <c r="AE40" s="36" t="s">
        <v>121</v>
      </c>
      <c r="AF40" s="36" t="s">
        <v>130</v>
      </c>
      <c r="AG40" s="36" t="str">
        <f t="shared" ref="AG40:AG46" si="6">IFERROR(VLOOKUP(AE40,$AF$39:$AF$45,1,FALSE),"")</f>
        <v/>
      </c>
      <c r="AH40" s="36" t="str">
        <f t="shared" ref="AH40:AH46" si="7">IFERROR(MATCH(AE40,AF40:AF47,0),"")</f>
        <v/>
      </c>
    </row>
    <row r="41" spans="2:53" x14ac:dyDescent="0.35">
      <c r="B41">
        <f t="shared" si="4"/>
        <v>1</v>
      </c>
      <c r="C41">
        <f t="shared" si="5"/>
        <v>125</v>
      </c>
      <c r="F41" s="6"/>
      <c r="G41" s="6"/>
      <c r="H41" s="16"/>
      <c r="I41" s="16"/>
      <c r="J41" s="16"/>
      <c r="K41" s="16"/>
      <c r="L41" s="16"/>
      <c r="M41" s="16"/>
      <c r="P41" s="21"/>
      <c r="Q41" s="21" t="str">
        <f>LEFT(Q32,0)</f>
        <v/>
      </c>
      <c r="R41" s="21"/>
      <c r="S41" s="21"/>
      <c r="T41" s="21"/>
      <c r="V41" s="8"/>
      <c r="W41" s="32">
        <f>VLOOKUP("t",W32:Y34,3,TRUE)</f>
        <v>2000</v>
      </c>
      <c r="X41" s="8"/>
      <c r="Y41" s="8"/>
      <c r="Z41" s="32" t="s">
        <v>76</v>
      </c>
      <c r="AA41" s="32"/>
      <c r="AB41" s="8"/>
      <c r="AE41" s="36" t="s">
        <v>122</v>
      </c>
      <c r="AF41" s="36" t="s">
        <v>129</v>
      </c>
      <c r="AG41" s="36" t="str">
        <f t="shared" si="6"/>
        <v>Brazil</v>
      </c>
      <c r="AH41" s="36">
        <f t="shared" si="7"/>
        <v>5</v>
      </c>
      <c r="AO41" s="67" t="s">
        <v>169</v>
      </c>
      <c r="AP41" s="69"/>
    </row>
    <row r="42" spans="2:53" x14ac:dyDescent="0.35">
      <c r="B42">
        <f t="shared" si="4"/>
        <v>0</v>
      </c>
      <c r="F42" s="6"/>
      <c r="G42" s="6"/>
      <c r="H42" s="17" t="s">
        <v>57</v>
      </c>
      <c r="I42" s="17" t="s">
        <v>62</v>
      </c>
      <c r="J42" s="17" t="s">
        <v>63</v>
      </c>
      <c r="K42" s="16"/>
      <c r="L42" s="16" t="s">
        <v>64</v>
      </c>
      <c r="M42" s="17" t="s">
        <v>73</v>
      </c>
      <c r="P42" s="21"/>
      <c r="Q42" s="22" t="s">
        <v>84</v>
      </c>
      <c r="R42" s="22" t="s">
        <v>75</v>
      </c>
      <c r="S42" s="22" t="s">
        <v>75</v>
      </c>
      <c r="T42" s="21"/>
      <c r="V42" s="8"/>
      <c r="W42" s="32" t="e">
        <f>VLOOKUP("t",W32:Y34,3,FALSE)</f>
        <v>#N/A</v>
      </c>
      <c r="X42" s="8"/>
      <c r="Y42" s="8"/>
      <c r="Z42" s="32" t="s">
        <v>112</v>
      </c>
      <c r="AA42" s="32"/>
      <c r="AB42" s="8"/>
      <c r="AE42" s="36" t="s">
        <v>123</v>
      </c>
      <c r="AF42" s="36" t="s">
        <v>131</v>
      </c>
      <c r="AG42" s="36" t="str">
        <f t="shared" si="6"/>
        <v/>
      </c>
      <c r="AH42" s="36" t="str">
        <f t="shared" si="7"/>
        <v/>
      </c>
      <c r="AO42" s="36"/>
      <c r="AP42" s="38"/>
    </row>
    <row r="43" spans="2:53" x14ac:dyDescent="0.35">
      <c r="H43" s="17" t="s">
        <v>58</v>
      </c>
      <c r="I43" s="17">
        <v>10</v>
      </c>
      <c r="J43" s="20">
        <v>20</v>
      </c>
      <c r="K43" s="16"/>
      <c r="L43" s="16">
        <f>AVERAGEIFS(J43:J46,I43:I46,"&gt;10",H43:H46,"&lt;&gt;Papaya")</f>
        <v>9.5</v>
      </c>
      <c r="M43" s="17">
        <v>1</v>
      </c>
      <c r="P43" s="21"/>
      <c r="Q43" s="22" t="s">
        <v>85</v>
      </c>
      <c r="R43" s="22" t="s">
        <v>91</v>
      </c>
      <c r="S43" s="22" t="s">
        <v>93</v>
      </c>
      <c r="T43" s="21"/>
      <c r="V43" s="8"/>
      <c r="W43" s="8"/>
      <c r="X43" s="8"/>
      <c r="Y43" s="8"/>
      <c r="Z43" s="8"/>
      <c r="AA43" s="8"/>
      <c r="AB43" s="8"/>
      <c r="AE43" s="36" t="s">
        <v>124</v>
      </c>
      <c r="AF43" s="36" t="s">
        <v>120</v>
      </c>
      <c r="AG43" s="36" t="str">
        <f t="shared" si="6"/>
        <v/>
      </c>
      <c r="AH43" s="36" t="str">
        <f t="shared" si="7"/>
        <v/>
      </c>
      <c r="AO43" s="36" t="s">
        <v>170</v>
      </c>
      <c r="AP43" s="38"/>
    </row>
    <row r="44" spans="2:53" x14ac:dyDescent="0.35">
      <c r="H44" s="17" t="s">
        <v>59</v>
      </c>
      <c r="I44" s="17">
        <v>21</v>
      </c>
      <c r="J44" s="20">
        <v>7</v>
      </c>
      <c r="K44" s="16"/>
      <c r="L44" s="16">
        <f>AVERAGEIFS(I43:I46,J43:J46,"&gt;$8",H43:H46,"&lt;&gt;Orange")</f>
        <v>7</v>
      </c>
      <c r="M44" s="17">
        <v>5</v>
      </c>
      <c r="P44" s="21"/>
      <c r="Q44" s="22" t="s">
        <v>86</v>
      </c>
      <c r="R44" s="24" t="s">
        <v>92</v>
      </c>
      <c r="S44" s="22" t="s">
        <v>95</v>
      </c>
      <c r="T44" s="21"/>
      <c r="V44" s="32" t="s">
        <v>98</v>
      </c>
      <c r="W44" s="32" t="s">
        <v>105</v>
      </c>
      <c r="X44" s="32" t="s">
        <v>102</v>
      </c>
      <c r="Y44" s="32" t="s">
        <v>106</v>
      </c>
      <c r="Z44" s="32" t="s">
        <v>107</v>
      </c>
      <c r="AA44" s="32" t="s">
        <v>109</v>
      </c>
      <c r="AB44" s="32"/>
      <c r="AE44" s="36" t="s">
        <v>125</v>
      </c>
      <c r="AF44" s="36" t="s">
        <v>132</v>
      </c>
      <c r="AG44" s="36" t="str">
        <f t="shared" si="6"/>
        <v/>
      </c>
      <c r="AH44" s="36" t="str">
        <f t="shared" si="7"/>
        <v/>
      </c>
      <c r="AO44" s="67" t="s">
        <v>171</v>
      </c>
      <c r="AP44" s="67"/>
      <c r="AQ44" s="48">
        <f>LEN(AO44)</f>
        <v>26</v>
      </c>
      <c r="AR44" s="48" t="str">
        <f>SUBSTITUTE(AO44," ","")</f>
        <v>LetTheCatOutOfTheBag</v>
      </c>
      <c r="AS44" s="48"/>
      <c r="AT44" s="48"/>
      <c r="AU44" s="48">
        <f>LEN(SUBSTITUTE(AO44," ",""))</f>
        <v>20</v>
      </c>
      <c r="AV44" s="48">
        <f>AQ44-AU44+1</f>
        <v>7</v>
      </c>
    </row>
    <row r="45" spans="2:53" x14ac:dyDescent="0.35">
      <c r="H45" s="17" t="s">
        <v>60</v>
      </c>
      <c r="I45" s="17">
        <v>12</v>
      </c>
      <c r="J45" s="20">
        <v>12</v>
      </c>
      <c r="K45" s="16"/>
      <c r="L45" s="16"/>
      <c r="M45" s="17">
        <v>7</v>
      </c>
      <c r="P45" s="21"/>
      <c r="Q45" s="22" t="s">
        <v>87</v>
      </c>
      <c r="R45" s="21"/>
      <c r="S45" s="27" t="s">
        <v>94</v>
      </c>
      <c r="T45" s="21"/>
      <c r="V45" s="32" t="s">
        <v>27</v>
      </c>
      <c r="W45" s="32">
        <v>3500</v>
      </c>
      <c r="X45" s="32">
        <v>3800</v>
      </c>
      <c r="Y45" s="32">
        <v>1200</v>
      </c>
      <c r="Z45" s="32">
        <v>3800</v>
      </c>
      <c r="AA45" s="32">
        <v>1000</v>
      </c>
      <c r="AB45" s="32">
        <v>3000</v>
      </c>
      <c r="AE45" s="36" t="s">
        <v>126</v>
      </c>
      <c r="AF45" s="36" t="s">
        <v>122</v>
      </c>
      <c r="AG45" s="36" t="str">
        <f t="shared" si="6"/>
        <v/>
      </c>
      <c r="AH45" s="36" t="str">
        <f t="shared" si="7"/>
        <v/>
      </c>
      <c r="AO45" s="67" t="s">
        <v>172</v>
      </c>
      <c r="AP45" s="67"/>
      <c r="AQ45" s="36">
        <f>LEN(TRIM(AO45))</f>
        <v>26</v>
      </c>
      <c r="AR45" s="36"/>
      <c r="AS45" s="36"/>
      <c r="AT45" s="36"/>
      <c r="AU45" s="36">
        <f>LEN(SUBSTITUTE(AO45," ",""))</f>
        <v>20</v>
      </c>
      <c r="AV45" s="36">
        <f>AQ45-AU45+1</f>
        <v>7</v>
      </c>
    </row>
    <row r="46" spans="2:53" x14ac:dyDescent="0.35">
      <c r="H46" s="17" t="s">
        <v>61</v>
      </c>
      <c r="I46" s="17">
        <v>4</v>
      </c>
      <c r="J46" s="20">
        <v>32</v>
      </c>
      <c r="K46" s="16"/>
      <c r="L46" s="16"/>
      <c r="M46" s="17"/>
      <c r="P46" s="21"/>
      <c r="Q46" s="22" t="s">
        <v>89</v>
      </c>
      <c r="R46" s="21"/>
      <c r="S46" s="27" t="str">
        <f>SUBSTITUTE(S43,"a","z",1)</f>
        <v>zbcdabcdabcd</v>
      </c>
      <c r="T46" s="21"/>
      <c r="V46" s="32" t="s">
        <v>28</v>
      </c>
      <c r="W46" s="32">
        <v>3700</v>
      </c>
      <c r="X46" s="32">
        <v>2800</v>
      </c>
      <c r="Y46" s="32">
        <v>2900</v>
      </c>
      <c r="Z46" s="32">
        <v>2700</v>
      </c>
      <c r="AA46" s="32">
        <v>2000</v>
      </c>
      <c r="AB46" s="32">
        <v>2000</v>
      </c>
      <c r="AE46" s="36" t="s">
        <v>127</v>
      </c>
      <c r="AF46" s="36" t="s">
        <v>133</v>
      </c>
      <c r="AG46" s="36" t="str">
        <f t="shared" si="6"/>
        <v>Germany</v>
      </c>
      <c r="AH46" s="36" t="str">
        <f t="shared" si="7"/>
        <v/>
      </c>
    </row>
    <row r="47" spans="2:53" x14ac:dyDescent="0.35">
      <c r="H47" s="16"/>
      <c r="I47" s="16"/>
      <c r="J47" s="16"/>
      <c r="K47" s="16"/>
      <c r="L47" s="16"/>
      <c r="M47" s="17" t="e">
        <f>100/0</f>
        <v>#DIV/0!</v>
      </c>
      <c r="P47" s="21"/>
      <c r="Q47" s="27" t="s">
        <v>88</v>
      </c>
      <c r="R47" s="28" t="s">
        <v>90</v>
      </c>
      <c r="S47" s="27" t="str">
        <f>SUBSTITUTE(S43,"a","z")</f>
        <v>zbcdzbcdzbcd</v>
      </c>
      <c r="T47" s="21"/>
      <c r="V47" s="32" t="s">
        <v>29</v>
      </c>
      <c r="W47" s="32">
        <v>1300</v>
      </c>
      <c r="X47" s="32">
        <v>1100</v>
      </c>
      <c r="Y47" s="32">
        <v>1200</v>
      </c>
      <c r="Z47" s="32">
        <v>4800</v>
      </c>
      <c r="AA47" s="32">
        <v>3000</v>
      </c>
      <c r="AB47" s="32">
        <v>1000</v>
      </c>
    </row>
    <row r="48" spans="2:53" x14ac:dyDescent="0.35">
      <c r="H48" s="16" t="s">
        <v>67</v>
      </c>
      <c r="I48" s="16" t="s">
        <v>68</v>
      </c>
      <c r="J48" s="16"/>
      <c r="K48" s="16" t="s">
        <v>69</v>
      </c>
      <c r="L48" s="16" t="s">
        <v>70</v>
      </c>
      <c r="M48" s="17">
        <v>9</v>
      </c>
      <c r="P48" s="21"/>
      <c r="Q48" s="27" t="str">
        <f>PROPER(Q43)</f>
        <v>Trumpexcel</v>
      </c>
      <c r="R48" s="28" t="str">
        <f>REPLACE(R43,5,4,"*")</f>
        <v>abcd*ij</v>
      </c>
      <c r="S48" s="27" t="str">
        <f>SUBSTITUTE(S44,"@","1")</f>
        <v>123111123</v>
      </c>
      <c r="T48" s="21"/>
      <c r="V48" s="8"/>
      <c r="W48" s="8"/>
      <c r="X48" s="8"/>
      <c r="Y48" s="8"/>
      <c r="Z48" s="8"/>
      <c r="AA48" s="8"/>
      <c r="AB48" s="8"/>
      <c r="AO48" s="36" t="s">
        <v>173</v>
      </c>
      <c r="AP48" s="36"/>
      <c r="AQ48" s="36"/>
      <c r="AR48" s="36"/>
      <c r="AS48" s="36"/>
    </row>
    <row r="49" spans="8:62" x14ac:dyDescent="0.35">
      <c r="H49" s="16">
        <f>COUNTIF(I43:I46,"&gt;10")</f>
        <v>2</v>
      </c>
      <c r="I49" s="16">
        <f>COUNTIFS(J43:J46,"&gt;$8",I43:I46,"&gt;4",H43:H46,"&lt;&gt;Apple")</f>
        <v>1</v>
      </c>
      <c r="J49" s="16"/>
      <c r="K49" s="16">
        <f>LARGE(M43:M45,1)</f>
        <v>7</v>
      </c>
      <c r="L49" s="16">
        <f>SMALL(M43:M45,1)</f>
        <v>1</v>
      </c>
      <c r="M49" s="16"/>
      <c r="P49" s="21"/>
      <c r="Q49" s="27" t="str">
        <f>PROPER(Q46)</f>
        <v>Trump Excel</v>
      </c>
      <c r="R49" s="21"/>
      <c r="S49" s="27" t="str">
        <f>SUBSTITUTE(S43,"a","Z")</f>
        <v>ZbcdZbcdZbcd</v>
      </c>
      <c r="T49" s="21"/>
      <c r="V49" s="8"/>
      <c r="W49" s="32" t="s">
        <v>108</v>
      </c>
      <c r="X49" s="32" t="s">
        <v>110</v>
      </c>
      <c r="Y49" s="33" t="s">
        <v>113</v>
      </c>
      <c r="Z49" s="32" t="s">
        <v>114</v>
      </c>
      <c r="AA49" s="32" t="s">
        <v>115</v>
      </c>
      <c r="AB49" s="8"/>
      <c r="AO49" s="49" t="s">
        <v>174</v>
      </c>
      <c r="AP49" s="36"/>
      <c r="AQ49" s="36">
        <f>SEARCH("@",AO49)</f>
        <v>4</v>
      </c>
      <c r="AR49" s="36" t="str">
        <f>LEFT(AO49,AQ49-1)</f>
        <v>abc</v>
      </c>
      <c r="AS49" s="36"/>
    </row>
    <row r="50" spans="8:62" x14ac:dyDescent="0.35">
      <c r="H50" s="16">
        <f>COUNTIF(H43:H46,"*a*")</f>
        <v>4</v>
      </c>
      <c r="I50" s="16"/>
      <c r="J50" s="16"/>
      <c r="K50" s="16">
        <f>LARGE(M43:M45,2)</f>
        <v>5</v>
      </c>
      <c r="L50" s="16">
        <f>SMALL(M43:M45,2)</f>
        <v>5</v>
      </c>
      <c r="M50" s="16"/>
      <c r="P50" s="21"/>
      <c r="Q50" s="27" t="str">
        <f>PROPER(Q44)</f>
        <v>S.Bansal</v>
      </c>
      <c r="R50" s="21"/>
      <c r="S50" s="27" t="str">
        <f>SUBSTITUTE(S43,"A","z")</f>
        <v>abcdabcdabcd</v>
      </c>
      <c r="T50" s="21"/>
      <c r="V50" s="8"/>
      <c r="W50" s="32">
        <f>INDEX(W45:Z47,2,2)</f>
        <v>2800</v>
      </c>
      <c r="X50" s="32">
        <f>MATCH("Tom",V45:V47,0)</f>
        <v>1</v>
      </c>
      <c r="Y50" s="33">
        <f ca="1">INDIRECT("Z40")</f>
        <v>3</v>
      </c>
      <c r="Z50" s="32">
        <f>ROW()</f>
        <v>50</v>
      </c>
      <c r="AA50" s="32">
        <f>COLUMN()</f>
        <v>27</v>
      </c>
      <c r="AB50" s="8"/>
      <c r="AO50" s="49" t="s">
        <v>92</v>
      </c>
      <c r="AP50" s="36"/>
      <c r="AQ50" s="36">
        <f>SEARCH("@",AO50)</f>
        <v>11</v>
      </c>
      <c r="AR50" s="36" t="str">
        <f>LEFT(AO50,AQ50-1)</f>
        <v>trumpexcel</v>
      </c>
      <c r="AS50" s="36"/>
    </row>
    <row r="51" spans="8:62" x14ac:dyDescent="0.35">
      <c r="H51" s="16">
        <f>COUNTIF(H43:H46,"Apple")</f>
        <v>1</v>
      </c>
      <c r="I51" s="16"/>
      <c r="J51" s="16"/>
      <c r="K51" s="16">
        <f>LARGE(M43:M46,1)</f>
        <v>7</v>
      </c>
      <c r="L51" s="16">
        <f>SMALL(M43:M46,1)</f>
        <v>1</v>
      </c>
      <c r="M51" s="16"/>
      <c r="P51" s="21"/>
      <c r="Q51" s="27" t="str">
        <f>PROPER(Q45)</f>
        <v>It'S Awesome</v>
      </c>
      <c r="R51" s="21"/>
      <c r="S51" s="21"/>
      <c r="T51" s="21"/>
      <c r="V51" s="8"/>
      <c r="W51" s="32">
        <f>INDEX((W45:W47,X45:X47,Y45:Y47,Z45:Z47),2,1,4)</f>
        <v>2700</v>
      </c>
      <c r="X51" s="32">
        <f>MATCH("Arjun",V45:V47,0)</f>
        <v>3</v>
      </c>
      <c r="Y51" s="8"/>
      <c r="Z51" s="32">
        <f>ROW(Z51)</f>
        <v>51</v>
      </c>
      <c r="AA51" s="32">
        <f>COLUMN(AB51)</f>
        <v>28</v>
      </c>
      <c r="AB51" s="8"/>
    </row>
    <row r="52" spans="8:62" x14ac:dyDescent="0.35">
      <c r="H52" s="16">
        <f>COUNTIF(H43:H46,"?*")</f>
        <v>4</v>
      </c>
      <c r="I52" s="16"/>
      <c r="J52" s="16"/>
      <c r="K52" s="16" t="e">
        <f>LARGE(M43:M48,1)</f>
        <v>#DIV/0!</v>
      </c>
      <c r="L52" s="16" t="e">
        <f>SMALL(M43:M48,1)</f>
        <v>#DIV/0!</v>
      </c>
      <c r="M52" s="16"/>
      <c r="P52" s="21"/>
      <c r="Q52" s="21"/>
      <c r="R52" s="21"/>
      <c r="S52" s="21"/>
      <c r="T52" s="21"/>
      <c r="V52" s="8"/>
      <c r="W52" s="32">
        <f>SUM(INDEX(W45:W47,1,0))</f>
        <v>3500</v>
      </c>
      <c r="X52" s="32">
        <f>MATCH(V46,V45:V47,0)</f>
        <v>2</v>
      </c>
      <c r="Y52" s="8"/>
      <c r="Z52" s="8"/>
      <c r="AA52" s="8"/>
      <c r="AB52" s="8"/>
    </row>
    <row r="53" spans="8:62" x14ac:dyDescent="0.35">
      <c r="H53" s="16" t="s">
        <v>71</v>
      </c>
      <c r="I53" s="16" t="s">
        <v>72</v>
      </c>
      <c r="J53" s="16"/>
      <c r="K53" s="16"/>
      <c r="L53" s="16"/>
      <c r="M53" s="16"/>
      <c r="P53" s="21"/>
      <c r="Q53" s="22" t="s">
        <v>75</v>
      </c>
      <c r="R53" s="22"/>
      <c r="S53" s="22"/>
      <c r="T53" s="21"/>
      <c r="V53" s="8"/>
      <c r="W53" s="32">
        <f>SUM(INDEX(W45:Z47,1,0))</f>
        <v>12300</v>
      </c>
      <c r="X53" s="32">
        <f>MATCH(1500,AA45:AA47,1)</f>
        <v>1</v>
      </c>
      <c r="Y53" s="8"/>
      <c r="Z53" s="32" t="s">
        <v>116</v>
      </c>
      <c r="AA53" s="32" t="s">
        <v>117</v>
      </c>
      <c r="AB53" s="8"/>
      <c r="AO53" s="37" t="s">
        <v>175</v>
      </c>
      <c r="AP53" s="37"/>
      <c r="AQ53" s="37"/>
      <c r="AR53" s="37"/>
      <c r="AS53" s="37"/>
      <c r="AT53" s="36" t="s">
        <v>202</v>
      </c>
      <c r="AU53" s="37"/>
      <c r="AV53" s="37"/>
      <c r="AW53" s="37"/>
      <c r="AX53" s="37"/>
    </row>
    <row r="54" spans="8:62" x14ac:dyDescent="0.35">
      <c r="H54" s="16">
        <f>MAX(M43:M45)</f>
        <v>7</v>
      </c>
      <c r="I54" s="16">
        <f>MIN(M43:M45)</f>
        <v>1</v>
      </c>
      <c r="J54" s="16"/>
      <c r="K54" s="16"/>
      <c r="L54" s="16"/>
      <c r="M54" s="16"/>
      <c r="P54" s="21"/>
      <c r="Q54" s="22" t="s">
        <v>27</v>
      </c>
      <c r="R54" s="25">
        <v>20000</v>
      </c>
      <c r="S54" s="26">
        <v>45702</v>
      </c>
      <c r="T54" s="21"/>
      <c r="V54" s="8"/>
      <c r="W54" s="32">
        <f>SUM(INDEX(W45:Z47,0,1))</f>
        <v>8500</v>
      </c>
      <c r="X54" s="32" t="e">
        <f>MATCH(1500,AA45:AA47,-1)</f>
        <v>#N/A</v>
      </c>
      <c r="Y54" s="8"/>
      <c r="Z54" s="32">
        <f>ROWS(AB52:AB56)</f>
        <v>5</v>
      </c>
      <c r="AA54" s="32">
        <f>COLUMNS(AB52:AJ55)</f>
        <v>9</v>
      </c>
      <c r="AB54" s="8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BB54" s="1" t="s">
        <v>207</v>
      </c>
      <c r="BC54" s="1" t="s">
        <v>212</v>
      </c>
      <c r="BD54" s="1" t="s">
        <v>100</v>
      </c>
    </row>
    <row r="55" spans="8:62" x14ac:dyDescent="0.35">
      <c r="H55" s="16">
        <f>MAX(M43:M46)</f>
        <v>7</v>
      </c>
      <c r="I55" s="16">
        <f>MIN(M43:M46)</f>
        <v>1</v>
      </c>
      <c r="J55" s="16"/>
      <c r="K55" s="16"/>
      <c r="L55" s="16"/>
      <c r="M55" s="16"/>
      <c r="P55" s="21"/>
      <c r="Q55" s="27" t="s">
        <v>96</v>
      </c>
      <c r="R55" s="27"/>
      <c r="S55" s="21"/>
      <c r="T55" s="21"/>
      <c r="V55" s="8"/>
      <c r="W55" s="32" t="e">
        <f>B3:INDEX(W45:Z47,3,4)</f>
        <v>#VALUE!</v>
      </c>
      <c r="X55" s="32">
        <f>MATCH(1500,AB45:AB47,-1)</f>
        <v>2</v>
      </c>
      <c r="Y55" s="8"/>
      <c r="Z55" s="32">
        <f>ROWS(AB53)</f>
        <v>1</v>
      </c>
      <c r="AA55" s="32">
        <f>COLUMNS(A1:A1)</f>
        <v>1</v>
      </c>
      <c r="AB55" s="8"/>
      <c r="AO55" s="36" t="s">
        <v>176</v>
      </c>
      <c r="AP55" s="36" t="s">
        <v>177</v>
      </c>
      <c r="AQ55" s="36" t="s">
        <v>178</v>
      </c>
      <c r="AR55" s="36" t="s">
        <v>204</v>
      </c>
      <c r="AS55" s="36" t="s">
        <v>205</v>
      </c>
      <c r="AT55" s="36" t="s">
        <v>206</v>
      </c>
      <c r="AU55" s="37"/>
      <c r="AV55" s="36" t="s">
        <v>176</v>
      </c>
      <c r="AW55" s="36" t="s">
        <v>177</v>
      </c>
      <c r="AX55" s="36" t="s">
        <v>178</v>
      </c>
      <c r="BB55" s="1" t="s">
        <v>196</v>
      </c>
      <c r="BC55" s="1" t="s">
        <v>123</v>
      </c>
      <c r="BD55" s="1">
        <v>213</v>
      </c>
    </row>
    <row r="56" spans="8:62" x14ac:dyDescent="0.35">
      <c r="H56" s="16" t="e">
        <f>MAX(M43:M48)</f>
        <v>#DIV/0!</v>
      </c>
      <c r="I56" s="16" t="e">
        <f>MIN(M43:M48)</f>
        <v>#DIV/0!</v>
      </c>
      <c r="J56" s="16"/>
      <c r="K56" s="16"/>
      <c r="L56" s="16"/>
      <c r="M56" s="16"/>
      <c r="P56" s="21"/>
      <c r="Q56" s="27" t="str">
        <f>Q54&amp;"Did Sale Of "&amp;TEXT(R54,"0.00") &amp; "in" &amp; TEXT(S54,"mmm")</f>
        <v>TomDid Sale Of 20000.00inFeb</v>
      </c>
      <c r="R56" s="27"/>
      <c r="S56" s="21"/>
      <c r="T56" s="21"/>
      <c r="V56" s="8"/>
      <c r="W56" s="8"/>
      <c r="X56" s="8"/>
      <c r="Y56" s="8"/>
      <c r="Z56" s="32">
        <f>ROWS($AB$52:AB54)</f>
        <v>3</v>
      </c>
      <c r="AA56" s="8"/>
      <c r="AB56" s="8"/>
      <c r="AO56" s="36" t="s">
        <v>179</v>
      </c>
      <c r="AP56" s="36" t="s">
        <v>136</v>
      </c>
      <c r="AQ56" s="36" t="s">
        <v>198</v>
      </c>
      <c r="AR56" s="36">
        <f>ROWS($AQ$56:AQ56)</f>
        <v>1</v>
      </c>
      <c r="AS56" s="36" t="str">
        <f>IF($AT$53=AQ56,AR56,"")</f>
        <v/>
      </c>
      <c r="AT56" s="36">
        <f>IFERROR(SMALL($AS$56:$AS$67,ROWS($AS$56:AT56)),"")</f>
        <v>6</v>
      </c>
      <c r="AU56" s="37"/>
      <c r="AV56" s="36" t="str">
        <f>IFERROR(INDEX($AO$56:$AQ$67,$AT56,COLUMNS($AU$56:AU56)),"")</f>
        <v>Product 6</v>
      </c>
      <c r="AW56" s="36" t="str">
        <f>IFERROR(INDEX($AO$56:$AQ$67,$AT56,COLUMNS($AU$56:AV56)),"")</f>
        <v>David</v>
      </c>
      <c r="AX56" s="36" t="str">
        <f>IFERROR(INDEX($AO$56:$AQ$67,$AT56,COLUMNS($AU$56:AW56)),"")</f>
        <v>England</v>
      </c>
      <c r="BB56" s="1" t="s">
        <v>209</v>
      </c>
      <c r="BC56" s="1" t="s">
        <v>123</v>
      </c>
      <c r="BD56" s="1">
        <v>991</v>
      </c>
    </row>
    <row r="57" spans="8:62" x14ac:dyDescent="0.35">
      <c r="H57" s="16"/>
      <c r="I57" s="16"/>
      <c r="J57" s="16"/>
      <c r="K57" s="16"/>
      <c r="L57" s="16"/>
      <c r="M57" s="16"/>
      <c r="V57" s="8"/>
      <c r="W57" s="8"/>
      <c r="X57" s="8"/>
      <c r="Y57" s="8"/>
      <c r="Z57" s="32">
        <f>ROWS($AB$52:AB55)</f>
        <v>4</v>
      </c>
      <c r="AA57" s="8"/>
      <c r="AB57" s="8"/>
      <c r="AO57" s="36" t="s">
        <v>180</v>
      </c>
      <c r="AP57" s="36" t="s">
        <v>166</v>
      </c>
      <c r="AQ57" s="36" t="s">
        <v>124</v>
      </c>
      <c r="AR57" s="36">
        <f>ROWS($AQ$56:AQ57)</f>
        <v>2</v>
      </c>
      <c r="AS57" s="36" t="str">
        <f t="shared" ref="AS57:AS67" si="8">IF($AT$53=AQ57,AR57,"")</f>
        <v/>
      </c>
      <c r="AT57" s="36">
        <f>IFERROR(SMALL($AS$56:$AS$67,ROWS($AS$56:AT57)),"")</f>
        <v>11</v>
      </c>
      <c r="AU57" s="37"/>
      <c r="AV57" s="36" t="str">
        <f>IFERROR(INDEX($AO$56:$AQ$67,$AT57,COLUMNS($AU$56:AU57)),"")</f>
        <v>Product 11</v>
      </c>
      <c r="AW57" s="36" t="str">
        <f>IFERROR(INDEX($AO$56:$AQ$67,$AT57,COLUMNS($AU$56:AV57)),"")</f>
        <v>Paul</v>
      </c>
      <c r="AX57" s="36" t="str">
        <f>IFERROR(INDEX($AO$56:$AQ$67,$AT57,COLUMNS($AU$56:AW57)),"")</f>
        <v>England</v>
      </c>
      <c r="BB57" s="50" t="s">
        <v>210</v>
      </c>
      <c r="BC57" s="50" t="s">
        <v>123</v>
      </c>
      <c r="BD57" s="50">
        <v>538</v>
      </c>
    </row>
    <row r="58" spans="8:62" x14ac:dyDescent="0.35">
      <c r="V58" s="8"/>
      <c r="W58" s="8"/>
      <c r="X58" s="8"/>
      <c r="Y58" s="8"/>
      <c r="Z58" s="32">
        <f>ROWS($AB$52:AB56)</f>
        <v>5</v>
      </c>
      <c r="AA58" s="8"/>
      <c r="AB58" s="8"/>
      <c r="AO58" s="36" t="s">
        <v>181</v>
      </c>
      <c r="AP58" s="36" t="s">
        <v>191</v>
      </c>
      <c r="AQ58" s="36" t="s">
        <v>199</v>
      </c>
      <c r="AR58" s="36">
        <f>ROWS($AQ$56:AQ58)</f>
        <v>3</v>
      </c>
      <c r="AS58" s="36" t="str">
        <f t="shared" si="8"/>
        <v/>
      </c>
      <c r="AT58" s="36" t="str">
        <f>IFERROR(SMALL($AS$56:$AS$67,ROWS($AS$56:AT58)),"")</f>
        <v/>
      </c>
      <c r="AU58" s="37"/>
      <c r="AV58" s="36" t="str">
        <f>IFERROR(INDEX($AO$56:$AQ$67,$AT58,COLUMNS($AU$56:AU58)),"")</f>
        <v/>
      </c>
      <c r="AW58" s="36" t="str">
        <f>IFERROR(INDEX($AO$56:$AQ$67,$AT58,COLUMNS($AU$56:AV58)),"")</f>
        <v/>
      </c>
      <c r="AX58" s="36" t="str">
        <f>IFERROR(INDEX($AO$56:$AQ$67,$AT58,COLUMNS($AU$56:AW58)),"")</f>
        <v/>
      </c>
      <c r="BB58" s="1" t="s">
        <v>208</v>
      </c>
      <c r="BC58" s="1" t="s">
        <v>213</v>
      </c>
      <c r="BD58" s="1">
        <v>205</v>
      </c>
    </row>
    <row r="59" spans="8:62" x14ac:dyDescent="0.35">
      <c r="AO59" s="36" t="s">
        <v>182</v>
      </c>
      <c r="AP59" s="36" t="s">
        <v>151</v>
      </c>
      <c r="AQ59" s="36" t="s">
        <v>200</v>
      </c>
      <c r="AR59" s="36">
        <f>ROWS($AQ$56:AQ59)</f>
        <v>4</v>
      </c>
      <c r="AS59" s="36" t="str">
        <f t="shared" si="8"/>
        <v/>
      </c>
      <c r="AT59" s="36" t="str">
        <f>IFERROR(SMALL($AS$56:$AS$67,ROWS($AS$56:AT59)),"")</f>
        <v/>
      </c>
      <c r="AU59" s="37"/>
      <c r="AV59" s="36" t="str">
        <f>IFERROR(INDEX($AO$56:$AQ$67,$AT59,COLUMNS($AU$56:AU59)),"")</f>
        <v/>
      </c>
      <c r="AW59" s="36" t="str">
        <f>IFERROR(INDEX($AO$56:$AQ$67,$AT59,COLUMNS($AU$56:AV59)),"")</f>
        <v/>
      </c>
      <c r="AX59" s="36" t="str">
        <f>IFERROR(INDEX($AO$56:$AQ$67,$AT59,COLUMNS($AU$56:AW59)),"")</f>
        <v/>
      </c>
      <c r="BB59" s="51" t="s">
        <v>208</v>
      </c>
      <c r="BC59" s="51" t="s">
        <v>213</v>
      </c>
      <c r="BD59" s="51">
        <v>430</v>
      </c>
    </row>
    <row r="60" spans="8:62" x14ac:dyDescent="0.35">
      <c r="AO60" s="36" t="s">
        <v>183</v>
      </c>
      <c r="AP60" s="36" t="s">
        <v>192</v>
      </c>
      <c r="AQ60" s="36" t="s">
        <v>201</v>
      </c>
      <c r="AR60" s="36">
        <f>ROWS($AQ$56:AQ60)</f>
        <v>5</v>
      </c>
      <c r="AS60" s="36" t="str">
        <f t="shared" si="8"/>
        <v/>
      </c>
      <c r="AT60" s="36" t="str">
        <f>IFERROR(SMALL($AS$56:$AS$67,ROWS($AS$56:AT60)),"")</f>
        <v/>
      </c>
      <c r="AU60" s="37"/>
      <c r="AV60" s="36" t="str">
        <f>IFERROR(INDEX($AO$56:$AQ$67,$AT60,COLUMNS($AU$56:AU60)),"")</f>
        <v/>
      </c>
      <c r="AW60" s="36" t="str">
        <f>IFERROR(INDEX($AO$56:$AQ$67,$AT60,COLUMNS($AU$56:AV60)),"")</f>
        <v/>
      </c>
      <c r="AX60" s="36" t="str">
        <f>IFERROR(INDEX($AO$56:$AQ$67,$AT60,COLUMNS($AU$56:AW60)),"")</f>
        <v/>
      </c>
      <c r="BB60" s="1" t="s">
        <v>211</v>
      </c>
      <c r="BC60" s="1" t="s">
        <v>213</v>
      </c>
      <c r="BD60" s="1">
        <v>425</v>
      </c>
    </row>
    <row r="61" spans="8:62" x14ac:dyDescent="0.35">
      <c r="AO61" s="36" t="s">
        <v>184</v>
      </c>
      <c r="AP61" s="36" t="s">
        <v>193</v>
      </c>
      <c r="AQ61" s="36" t="s">
        <v>202</v>
      </c>
      <c r="AR61" s="36">
        <f>ROWS($AQ$56:AQ61)</f>
        <v>6</v>
      </c>
      <c r="AS61" s="36">
        <f t="shared" si="8"/>
        <v>6</v>
      </c>
      <c r="AT61" s="36" t="str">
        <f>IFERROR(SMALL($AS$56:$AS$67,ROWS($AS$56:AT61)),"")</f>
        <v/>
      </c>
      <c r="AU61" s="37"/>
      <c r="AV61" s="36" t="str">
        <f>IFERROR(INDEX($AO$56:$AQ$67,$AT61,COLUMNS($AU$56:AU61)),"")</f>
        <v/>
      </c>
      <c r="AW61" s="36" t="str">
        <f>IFERROR(INDEX($AO$56:$AQ$67,$AT61,COLUMNS($AU$56:AV61)),"")</f>
        <v/>
      </c>
      <c r="AX61" s="36" t="str">
        <f>IFERROR(INDEX($AO$56:$AQ$67,$AT61,COLUMNS($AU$56:AW61)),"")</f>
        <v/>
      </c>
    </row>
    <row r="62" spans="8:62" x14ac:dyDescent="0.35">
      <c r="AO62" s="36" t="s">
        <v>185</v>
      </c>
      <c r="AP62" s="36" t="s">
        <v>194</v>
      </c>
      <c r="AQ62" s="36" t="s">
        <v>203</v>
      </c>
      <c r="AR62" s="36">
        <f>ROWS($AQ$56:AQ62)</f>
        <v>7</v>
      </c>
      <c r="AS62" s="36" t="str">
        <f t="shared" si="8"/>
        <v/>
      </c>
      <c r="AT62" s="36" t="str">
        <f>IFERROR(SMALL($AS$56:$AS$67,ROWS($AS$56:AT62)),"")</f>
        <v/>
      </c>
      <c r="AU62" s="37"/>
      <c r="AV62" s="36" t="str">
        <f>IFERROR(INDEX($AO$56:$AQ$67,$AT62,COLUMNS($AU$56:AU62)),"")</f>
        <v/>
      </c>
      <c r="AW62" s="36" t="str">
        <f>IFERROR(INDEX($AO$56:$AQ$67,$AT62,COLUMNS($AU$56:AV62)),"")</f>
        <v/>
      </c>
      <c r="AX62" s="36" t="str">
        <f>IFERROR(INDEX($AO$56:$AQ$67,$AT62,COLUMNS($AU$56:AW62)),"")</f>
        <v/>
      </c>
    </row>
    <row r="63" spans="8:62" x14ac:dyDescent="0.35">
      <c r="AO63" s="36" t="s">
        <v>186</v>
      </c>
      <c r="AP63" s="36" t="s">
        <v>195</v>
      </c>
      <c r="AQ63" s="36" t="s">
        <v>198</v>
      </c>
      <c r="AR63" s="36">
        <f>ROWS($AQ$56:AQ63)</f>
        <v>8</v>
      </c>
      <c r="AS63" s="36" t="str">
        <f t="shared" si="8"/>
        <v/>
      </c>
      <c r="AT63" s="36" t="str">
        <f>IFERROR(SMALL($AS$56:$AS$67,ROWS($AS$56:AT63)),"")</f>
        <v/>
      </c>
      <c r="AU63" s="37"/>
      <c r="AV63" s="36" t="str">
        <f>IFERROR(INDEX($AO$56:$AQ$67,$AT63,COLUMNS($AU$56:AU63)),"")</f>
        <v/>
      </c>
      <c r="AW63" s="36" t="str">
        <f>IFERROR(INDEX($AO$56:$AQ$67,$AT63,COLUMNS($AU$56:AV63)),"")</f>
        <v/>
      </c>
      <c r="AX63" s="36" t="str">
        <f>IFERROR(INDEX($AO$56:$AQ$67,$AT63,COLUMNS($AU$56:AW63)),"")</f>
        <v/>
      </c>
      <c r="BB63" s="1" t="s">
        <v>207</v>
      </c>
      <c r="BC63" s="1" t="s">
        <v>212</v>
      </c>
      <c r="BD63" s="1" t="s">
        <v>100</v>
      </c>
      <c r="BH63" s="1" t="s">
        <v>207</v>
      </c>
      <c r="BI63" s="1" t="s">
        <v>212</v>
      </c>
      <c r="BJ63" s="1" t="s">
        <v>100</v>
      </c>
    </row>
    <row r="64" spans="8:62" x14ac:dyDescent="0.35">
      <c r="AO64" s="36" t="s">
        <v>187</v>
      </c>
      <c r="AP64" s="36" t="s">
        <v>196</v>
      </c>
      <c r="AQ64" s="36" t="s">
        <v>201</v>
      </c>
      <c r="AR64" s="36">
        <f>ROWS($AQ$56:AQ64)</f>
        <v>9</v>
      </c>
      <c r="AS64" s="36" t="str">
        <f t="shared" si="8"/>
        <v/>
      </c>
      <c r="AT64" s="36" t="str">
        <f>IFERROR(SMALL($AS$56:$AS$67,ROWS($AS$56:AT64)),"")</f>
        <v/>
      </c>
      <c r="AU64" s="37"/>
      <c r="AV64" s="36" t="str">
        <f>IFERROR(INDEX($AO$56:$AQ$67,$AT64,COLUMNS($AU$56:AU64)),"")</f>
        <v/>
      </c>
      <c r="AW64" s="36" t="str">
        <f>IFERROR(INDEX($AO$56:$AQ$67,$AT64,COLUMNS($AU$56:AV64)),"")</f>
        <v/>
      </c>
      <c r="AX64" s="36" t="str">
        <f>IFERROR(INDEX($AO$56:$AQ$67,$AT64,COLUMNS($AU$56:AW64)),"")</f>
        <v/>
      </c>
      <c r="BB64" s="1" t="s">
        <v>196</v>
      </c>
      <c r="BC64" s="1" t="s">
        <v>123</v>
      </c>
      <c r="BD64" s="1">
        <v>213</v>
      </c>
      <c r="BH64" s="52" t="s">
        <v>208</v>
      </c>
      <c r="BI64" s="52" t="s">
        <v>213</v>
      </c>
      <c r="BJ64" s="52"/>
    </row>
    <row r="65" spans="41:62" x14ac:dyDescent="0.35">
      <c r="AO65" s="36" t="s">
        <v>188</v>
      </c>
      <c r="AP65" s="36" t="s">
        <v>27</v>
      </c>
      <c r="AQ65" s="36" t="s">
        <v>200</v>
      </c>
      <c r="AR65" s="36">
        <f>ROWS($AQ$56:AQ65)</f>
        <v>10</v>
      </c>
      <c r="AS65" s="36" t="str">
        <f t="shared" si="8"/>
        <v/>
      </c>
      <c r="AT65" s="36" t="str">
        <f>IFERROR(SMALL($AS$56:$AS$67,ROWS($AS$56:AT65)),"")</f>
        <v/>
      </c>
      <c r="AU65" s="37"/>
      <c r="AV65" s="36" t="str">
        <f>IFERROR(INDEX($AO$56:$AQ$67,$AT65,COLUMNS($AU$56:AU65)),"")</f>
        <v/>
      </c>
      <c r="AW65" s="36" t="str">
        <f>IFERROR(INDEX($AO$56:$AQ$67,$AT65,COLUMNS($AU$56:AV65)),"")</f>
        <v/>
      </c>
      <c r="AX65" s="36" t="str">
        <f>IFERROR(INDEX($AO$56:$AQ$67,$AT65,COLUMNS($AU$56:AW65)),"")</f>
        <v/>
      </c>
      <c r="BB65" s="1" t="s">
        <v>209</v>
      </c>
      <c r="BC65" s="1" t="s">
        <v>123</v>
      </c>
      <c r="BD65" s="1">
        <v>991</v>
      </c>
    </row>
    <row r="66" spans="41:62" x14ac:dyDescent="0.35">
      <c r="AO66" s="36" t="s">
        <v>189</v>
      </c>
      <c r="AP66" s="36" t="s">
        <v>197</v>
      </c>
      <c r="AQ66" s="36" t="s">
        <v>202</v>
      </c>
      <c r="AR66" s="36">
        <f>ROWS($AQ$56:AQ66)</f>
        <v>11</v>
      </c>
      <c r="AS66" s="36">
        <f t="shared" si="8"/>
        <v>11</v>
      </c>
      <c r="AT66" s="36" t="str">
        <f>IFERROR(SMALL($AS$56:$AS$67,ROWS($AS$56:AT66)),"")</f>
        <v/>
      </c>
      <c r="AU66" s="37"/>
      <c r="AV66" s="36" t="str">
        <f>IFERROR(INDEX($AO$56:$AQ$67,$AT66,COLUMNS($AU$56:AU66)),"")</f>
        <v/>
      </c>
      <c r="AW66" s="36" t="str">
        <f>IFERROR(INDEX($AO$56:$AQ$67,$AT66,COLUMNS($AU$56:AV66)),"")</f>
        <v/>
      </c>
      <c r="AX66" s="36" t="str">
        <f>IFERROR(INDEX($AO$56:$AQ$67,$AT66,COLUMNS($AU$56:AW66)),"")</f>
        <v/>
      </c>
      <c r="BB66" s="1" t="s">
        <v>210</v>
      </c>
      <c r="BC66" s="1" t="s">
        <v>123</v>
      </c>
      <c r="BD66" s="1">
        <v>538</v>
      </c>
    </row>
    <row r="67" spans="41:62" x14ac:dyDescent="0.35">
      <c r="AO67" s="36" t="s">
        <v>190</v>
      </c>
      <c r="AP67" s="36" t="s">
        <v>167</v>
      </c>
      <c r="AQ67" s="36" t="s">
        <v>201</v>
      </c>
      <c r="AR67" s="36">
        <f>ROWS($AQ$56:AQ67)</f>
        <v>12</v>
      </c>
      <c r="AS67" s="36" t="str">
        <f t="shared" si="8"/>
        <v/>
      </c>
      <c r="AT67" s="36" t="str">
        <f>IFERROR(SMALL($AS$56:$AS$67,ROWS($AS$56:AT67)),"")</f>
        <v/>
      </c>
      <c r="AU67" s="37"/>
      <c r="AV67" s="36" t="str">
        <f>IFERROR(INDEX($AO$56:$AQ$67,$AT67,COLUMNS($AU$56:AU67)),"")</f>
        <v/>
      </c>
      <c r="AW67" s="36" t="str">
        <f>IFERROR(INDEX($AO$56:$AQ$67,$AT67,COLUMNS($AU$56:AV67)),"")</f>
        <v/>
      </c>
      <c r="AX67" s="36" t="str">
        <f>IFERROR(INDEX($AO$56:$AQ$67,$AT67,COLUMNS($AU$56:AW67)),"")</f>
        <v/>
      </c>
      <c r="BB67" s="1" t="s">
        <v>208</v>
      </c>
      <c r="BC67" s="1" t="s">
        <v>213</v>
      </c>
      <c r="BD67" s="1">
        <v>205</v>
      </c>
      <c r="BH67" s="1" t="s">
        <v>207</v>
      </c>
      <c r="BI67" s="1" t="s">
        <v>212</v>
      </c>
      <c r="BJ67" s="1" t="s">
        <v>100</v>
      </c>
    </row>
    <row r="68" spans="41:62" x14ac:dyDescent="0.35">
      <c r="BB68" s="1" t="s">
        <v>208</v>
      </c>
      <c r="BC68" s="1" t="s">
        <v>213</v>
      </c>
      <c r="BD68" s="1">
        <v>430</v>
      </c>
      <c r="BH68" s="1" t="s">
        <v>208</v>
      </c>
      <c r="BI68" s="1" t="s">
        <v>213</v>
      </c>
      <c r="BJ68" s="1">
        <v>205</v>
      </c>
    </row>
    <row r="69" spans="41:62" x14ac:dyDescent="0.35">
      <c r="BB69" s="1" t="s">
        <v>211</v>
      </c>
      <c r="BC69" s="1" t="s">
        <v>213</v>
      </c>
      <c r="BD69" s="1">
        <v>425</v>
      </c>
      <c r="BH69" s="1" t="s">
        <v>208</v>
      </c>
      <c r="BI69" s="1" t="s">
        <v>213</v>
      </c>
      <c r="BJ69" s="1">
        <v>430</v>
      </c>
    </row>
    <row r="73" spans="41:62" x14ac:dyDescent="0.35">
      <c r="BB73" s="57" t="s">
        <v>207</v>
      </c>
      <c r="BC73" s="58" t="s">
        <v>212</v>
      </c>
      <c r="BD73" s="58" t="s">
        <v>100</v>
      </c>
    </row>
    <row r="74" spans="41:62" x14ac:dyDescent="0.35">
      <c r="BB74" s="55" t="s">
        <v>196</v>
      </c>
      <c r="BC74" s="53" t="s">
        <v>123</v>
      </c>
      <c r="BD74" s="53">
        <v>213</v>
      </c>
    </row>
    <row r="75" spans="41:62" x14ac:dyDescent="0.35">
      <c r="BB75" s="56" t="s">
        <v>209</v>
      </c>
      <c r="BC75" s="54" t="s">
        <v>123</v>
      </c>
      <c r="BD75" s="54">
        <v>991</v>
      </c>
    </row>
    <row r="76" spans="41:62" x14ac:dyDescent="0.35">
      <c r="BB76" s="55" t="s">
        <v>210</v>
      </c>
      <c r="BC76" s="53" t="s">
        <v>123</v>
      </c>
      <c r="BD76" s="53">
        <v>538</v>
      </c>
    </row>
    <row r="77" spans="41:62" x14ac:dyDescent="0.35">
      <c r="BB77" s="56" t="s">
        <v>208</v>
      </c>
      <c r="BC77" s="54" t="s">
        <v>213</v>
      </c>
      <c r="BD77" s="54">
        <v>205</v>
      </c>
    </row>
    <row r="78" spans="41:62" x14ac:dyDescent="0.35">
      <c r="BB78" s="55" t="s">
        <v>208</v>
      </c>
      <c r="BC78" s="53" t="s">
        <v>213</v>
      </c>
      <c r="BD78" s="53">
        <v>430</v>
      </c>
    </row>
    <row r="79" spans="41:62" x14ac:dyDescent="0.35">
      <c r="BB79" s="56" t="s">
        <v>211</v>
      </c>
      <c r="BC79" s="54" t="s">
        <v>213</v>
      </c>
      <c r="BD79" s="54">
        <v>425</v>
      </c>
    </row>
  </sheetData>
  <autoFilter ref="BB63:BD69" xr:uid="{07F7347B-7C59-4C2D-B9A3-B1B6E4C37A4A}"/>
  <sortState xmlns:xlrd2="http://schemas.microsoft.com/office/spreadsheetml/2017/richdata2" ref="BB55:BD60">
    <sortCondition ref="BC55:BC60"/>
    <sortCondition descending="1" sortBy="fontColor" ref="BD55:BD60" dxfId="11"/>
  </sortState>
  <mergeCells count="16">
    <mergeCell ref="AO44:AP44"/>
    <mergeCell ref="AO45:AP45"/>
    <mergeCell ref="AE24:AG24"/>
    <mergeCell ref="AE37:AH37"/>
    <mergeCell ref="AO27:AQ27"/>
    <mergeCell ref="W29:Y29"/>
    <mergeCell ref="Z39:AA39"/>
    <mergeCell ref="V6:W6"/>
    <mergeCell ref="AO41:AP41"/>
    <mergeCell ref="BC20:BE20"/>
    <mergeCell ref="B1:D1"/>
    <mergeCell ref="U2:X2"/>
    <mergeCell ref="V3:W3"/>
    <mergeCell ref="V4:W4"/>
    <mergeCell ref="W5:X5"/>
    <mergeCell ref="AO15:AR15"/>
  </mergeCells>
  <phoneticPr fontId="1" type="noConversion"/>
  <conditionalFormatting sqref="BG21:BG26">
    <cfRule type="expression" priority="4">
      <formula>$BG$21:$BG$26&gt;400</formula>
    </cfRule>
    <cfRule type="cellIs" dxfId="3" priority="6" operator="greaterThan">
      <formula>600</formula>
    </cfRule>
  </conditionalFormatting>
  <conditionalFormatting sqref="BI21:BI25">
    <cfRule type="containsText" dxfId="5" priority="5" operator="containsText" text="N/A">
      <formula>NOT(ISERROR(SEARCH("N/A",BI21)))</formula>
    </cfRule>
  </conditionalFormatting>
  <dataValidations disablePrompts="1" count="10">
    <dataValidation type="list" allowBlank="1" showInputMessage="1" showErrorMessage="1" sqref="AR18" xr:uid="{122E38A9-8900-4AE8-A0A1-B85E6450AB5F}">
      <formula1>$AP$18:$AP$24</formula1>
    </dataValidation>
    <dataValidation type="list" allowBlank="1" showInputMessage="1" showErrorMessage="1" sqref="AP37" xr:uid="{4C7500DD-D09B-4445-8E2A-EA8E81A07E60}">
      <formula1>$AO$30:$AO$33</formula1>
    </dataValidation>
    <dataValidation type="list" allowBlank="1" showInputMessage="1" showErrorMessage="1" sqref="AQ36" xr:uid="{D0DD8280-AF86-4006-AA10-941011E72172}">
      <formula1>$AP$29:$BA$29</formula1>
    </dataValidation>
    <dataValidation type="list" allowBlank="1" showInputMessage="1" showErrorMessage="1" sqref="AT53" xr:uid="{3237748E-37B7-405D-BD30-4690D1FEB43A}">
      <formula1>$AQ$56:$AQ$67</formula1>
    </dataValidation>
    <dataValidation type="whole" allowBlank="1" showInputMessage="1" showErrorMessage="1" sqref="BC4" xr:uid="{C77A86D0-5DF0-49E6-A610-4FE84CB4B4AD}">
      <formula1>1</formula1>
      <formula2>100</formula2>
    </dataValidation>
    <dataValidation type="list" allowBlank="1" showInputMessage="1" showErrorMessage="1" sqref="BF6" xr:uid="{83A03C63-B796-41F7-BB8A-06783C6904EB}">
      <formula1>$BE$5:$BE$9</formula1>
    </dataValidation>
    <dataValidation type="custom" allowBlank="1" showInputMessage="1" showErrorMessage="1" sqref="BE11" xr:uid="{DE81C8BB-F9FF-43BB-9B40-B17F9EC21B17}">
      <formula1>LEFT(BD11,1)="S"</formula1>
    </dataValidation>
    <dataValidation type="custom" allowBlank="1" showInputMessage="1" showErrorMessage="1" prompt="The starting should be made with letter S " sqref="BD11" xr:uid="{2D10D896-0035-44B4-8275-2E54C5AA14BB}">
      <formula1>LEFT(BD11,1)="S"</formula1>
    </dataValidation>
    <dataValidation type="custom" showInputMessage="1" showErrorMessage="1" sqref="BH5:BH6 BH4" xr:uid="{5182F4D9-B6AA-46AA-8758-A6566ED2B44D}">
      <formula1>NOT(ISBLANK($BH$4))</formula1>
    </dataValidation>
    <dataValidation type="list" allowBlank="1" showInputMessage="1" showErrorMessage="1" sqref="BH9" xr:uid="{D5B43DF9-2EF6-4D94-9F50-20ED081E26D8}">
      <formula1>OFFSET($BG$9,0,0,COUNTIF($BG$9:$BG$27,"&lt;&gt;"&amp;""))</formula1>
    </dataValidation>
  </dataValidations>
  <hyperlinks>
    <hyperlink ref="R44" r:id="rId1" xr:uid="{ACA2C791-5325-4B37-9281-D4C70ED7366C}"/>
    <hyperlink ref="AO49" r:id="rId2" xr:uid="{1F7231BF-3080-4449-97E3-E7741BCC1F1F}"/>
    <hyperlink ref="AO50" r:id="rId3" xr:uid="{C9DAC3A7-BAC7-4D03-8096-02F6313526D0}"/>
  </hyperlinks>
  <pageMargins left="0.7" right="0.7" top="0.75" bottom="0.75" header="0.3" footer="0.3"/>
  <drawing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6781-8714-4913-945B-B80EBD76BE3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D1EEA-FFD1-47BC-B980-89F58DDE46C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Hawal</dc:creator>
  <cp:lastModifiedBy>Sameer Hawal</cp:lastModifiedBy>
  <dcterms:created xsi:type="dcterms:W3CDTF">2025-06-30T11:54:49Z</dcterms:created>
  <dcterms:modified xsi:type="dcterms:W3CDTF">2025-07-21T16:21:23Z</dcterms:modified>
</cp:coreProperties>
</file>