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mit bansal\Dropbox\TrumpExcel\DashBoard Course\DashBoard Course Lessons\Interactive controls\"/>
    </mc:Choice>
  </mc:AlternateContent>
  <bookViews>
    <workbookView xWindow="0" yWindow="0" windowWidth="19200" windowHeight="7155" activeTab="3"/>
  </bookViews>
  <sheets>
    <sheet name="Scroll Bar" sheetId="2" r:id="rId1"/>
    <sheet name="Check Box" sheetId="4" r:id="rId2"/>
    <sheet name="Option Button" sheetId="5" r:id="rId3"/>
    <sheet name="Combo Box" sheetId="6" r:id="rId4"/>
  </sheets>
  <definedNames>
    <definedName name="Chart">INDIRECT("Sheet2!"&amp;ADDRESS(#REF!,1))</definedName>
    <definedName name="CIQWBGuid" hidden="1">"67dfcdb8-a307-49fe-b871-15b1169b12c1"</definedName>
    <definedName name="Datavalidationlist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localSheetId="1" hidden="1">41595.5207060185</definedName>
    <definedName name="IQ_NAMES_REVISION_DATE_" hidden="1">41309.4263541667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6" l="1"/>
  <c r="C17" i="6"/>
  <c r="C18" i="6"/>
  <c r="C19" i="6"/>
  <c r="C20" i="6"/>
  <c r="C21" i="6"/>
  <c r="C22" i="6"/>
  <c r="C16" i="6"/>
  <c r="C13" i="5"/>
  <c r="C15" i="5"/>
  <c r="C16" i="5"/>
  <c r="C17" i="5"/>
  <c r="C18" i="5"/>
  <c r="C19" i="5"/>
  <c r="C20" i="5"/>
  <c r="C14" i="5"/>
  <c r="D13" i="4"/>
  <c r="E13" i="4"/>
  <c r="F13" i="4"/>
  <c r="C13" i="4"/>
  <c r="D12" i="4"/>
  <c r="E12" i="4"/>
  <c r="F12" i="4"/>
  <c r="C12" i="4"/>
  <c r="D11" i="4"/>
  <c r="E11" i="4"/>
  <c r="F11" i="4"/>
  <c r="C11" i="4"/>
  <c r="J4" i="2"/>
  <c r="J5" i="2"/>
  <c r="J6" i="2"/>
  <c r="J7" i="2"/>
  <c r="J8" i="2"/>
  <c r="J9" i="2"/>
  <c r="J10" i="2"/>
  <c r="J11" i="2"/>
  <c r="J12" i="2"/>
  <c r="I4" i="2"/>
  <c r="I5" i="2"/>
  <c r="I6" i="2"/>
  <c r="I7" i="2"/>
  <c r="I8" i="2"/>
  <c r="I9" i="2"/>
  <c r="I10" i="2"/>
  <c r="I11" i="2"/>
  <c r="I12" i="2"/>
  <c r="I3" i="2"/>
  <c r="J3" i="2"/>
  <c r="H3" i="2"/>
  <c r="H4" i="2"/>
  <c r="H5" i="2"/>
  <c r="H6" i="2"/>
  <c r="H7" i="2"/>
  <c r="H8" i="2"/>
  <c r="H9" i="2"/>
  <c r="H10" i="2"/>
  <c r="H11" i="2"/>
  <c r="H12" i="2"/>
</calcChain>
</file>

<file path=xl/sharedStrings.xml><?xml version="1.0" encoding="utf-8"?>
<sst xmlns="http://schemas.openxmlformats.org/spreadsheetml/2006/main" count="57" uniqueCount="41">
  <si>
    <t>Census 2001 data</t>
  </si>
  <si>
    <t>S No</t>
  </si>
  <si>
    <t>State</t>
  </si>
  <si>
    <t>Area in Sq Km</t>
  </si>
  <si>
    <t>Population</t>
  </si>
  <si>
    <t xml:space="preserve"> Andhra Pradesh</t>
  </si>
  <si>
    <t xml:space="preserve"> Arunachal Pradesh</t>
  </si>
  <si>
    <t xml:space="preserve"> Assam</t>
  </si>
  <si>
    <t xml:space="preserve"> Bihar</t>
  </si>
  <si>
    <t xml:space="preserve"> Chhattisgarh</t>
  </si>
  <si>
    <t xml:space="preserve"> Goa </t>
  </si>
  <si>
    <t xml:space="preserve"> Gujarat</t>
  </si>
  <si>
    <t xml:space="preserve"> Haryana</t>
  </si>
  <si>
    <t xml:space="preserve"> Himachal Pradesh</t>
  </si>
  <si>
    <t xml:space="preserve"> Jammu &amp; Kashmir</t>
  </si>
  <si>
    <t xml:space="preserve"> Jharkhand</t>
  </si>
  <si>
    <t xml:space="preserve"> Karnataka</t>
  </si>
  <si>
    <t xml:space="preserve"> Kerala</t>
  </si>
  <si>
    <t xml:space="preserve"> Madhya Pradesh</t>
  </si>
  <si>
    <t xml:space="preserve"> Maharashtra</t>
  </si>
  <si>
    <t xml:space="preserve"> Meghalaya</t>
  </si>
  <si>
    <t xml:space="preserve"> Mizoram</t>
  </si>
  <si>
    <t xml:space="preserve"> Nagaland</t>
  </si>
  <si>
    <t xml:space="preserve"> Orissa</t>
  </si>
  <si>
    <t xml:space="preserve"> Punjab</t>
  </si>
  <si>
    <t xml:space="preserve"> Rajasthan</t>
  </si>
  <si>
    <t xml:space="preserve"> Sikkim</t>
  </si>
  <si>
    <t xml:space="preserve"> Tamil Nadu</t>
  </si>
  <si>
    <t xml:space="preserve"> Tripura</t>
  </si>
  <si>
    <t xml:space="preserve"> Uttar Pradesh</t>
  </si>
  <si>
    <t>Uttarakhand</t>
  </si>
  <si>
    <t xml:space="preserve"> West Bengal</t>
  </si>
  <si>
    <t>Q1</t>
  </si>
  <si>
    <t>Q2</t>
  </si>
  <si>
    <t>Q3</t>
  </si>
  <si>
    <t>Q4</t>
  </si>
  <si>
    <t>Revenue</t>
  </si>
  <si>
    <t>Net Income Margin</t>
  </si>
  <si>
    <t>Return on Asset</t>
  </si>
  <si>
    <t>EBITDA Margin</t>
  </si>
  <si>
    <t xml:space="preserve"> Manipur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</si>
</sst>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3" fillId="2" borderId="1" xfId="0" applyFont="1" applyFill="1" applyBorder="1" applyAlignment="1">
      <alignment horizontal="center"/>
    </xf>
    <xf numFmtId="9" fontId="3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7" fontId="2" fillId="0" borderId="1" xfId="2" applyNumberFormat="1" applyFont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165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1" xfId="0" applyNumberFormat="1" applyBorder="1"/>
    <xf numFmtId="0" fontId="1" fillId="4" borderId="1" xfId="0" applyFont="1" applyFill="1" applyBorder="1"/>
    <xf numFmtId="0" fontId="3" fillId="0" borderId="2" xfId="0" applyFont="1" applyBorder="1" applyAlignment="1">
      <alignment horizontal="center"/>
    </xf>
  </cellXfs>
  <cellStyles count="3">
    <cellStyle name="Comma 2" xfId="2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'Check Box'!$C$13:$F$13</c:f>
              <c:numCache>
                <c:formatCode>0.0%</c:formatCode>
                <c:ptCount val="4"/>
                <c:pt idx="0">
                  <c:v>6.5427962512842122E-2</c:v>
                </c:pt>
                <c:pt idx="1">
                  <c:v>4.9236691325131254E-2</c:v>
                </c:pt>
                <c:pt idx="2">
                  <c:v>1.7999999999999999E-2</c:v>
                </c:pt>
                <c:pt idx="3">
                  <c:v>0.1180716003668605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6879328"/>
        <c:axId val="10555258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'Check Box'!$C$11:$F$11</c:f>
              <c:numCache>
                <c:formatCode>0.0%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'Check Box'!$C$12:$F$12</c:f>
              <c:numCache>
                <c:formatCode>0.0%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879328"/>
        <c:axId val="105552584"/>
      </c:lineChart>
      <c:catAx>
        <c:axId val="236879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52584"/>
        <c:crosses val="autoZero"/>
        <c:auto val="1"/>
        <c:lblAlgn val="ctr"/>
        <c:lblOffset val="100"/>
        <c:noMultiLvlLbl val="0"/>
      </c:catAx>
      <c:valAx>
        <c:axId val="105552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87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'Option Button'!$B$13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'Option Button'!$A$14:$A$20</c:f>
              <c:numCache>
                <c:formatCode>General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numCache>
            </c:numRef>
          </c:cat>
          <c:val>
            <c:numRef>
              <c:f>'Option Button'!$B$14:$B$20</c:f>
              <c:numCache>
                <c:formatCode>#,##0</c:formatCode>
                <c:ptCount val="7"/>
                <c:pt idx="0">
                  <c:v>2132</c:v>
                </c:pt>
                <c:pt idx="1">
                  <c:v>2143</c:v>
                </c:pt>
                <c:pt idx="2">
                  <c:v>2345</c:v>
                </c:pt>
                <c:pt idx="3">
                  <c:v>2547</c:v>
                </c:pt>
                <c:pt idx="4">
                  <c:v>2765</c:v>
                </c:pt>
                <c:pt idx="5">
                  <c:v>3012</c:v>
                </c:pt>
                <c:pt idx="6">
                  <c:v>3243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3921208"/>
        <c:axId val="323923952"/>
      </c:barChart>
      <c:lineChart>
        <c:grouping val="stacked"/>
        <c:varyColors val="0"/>
        <c:ser>
          <c:idx val="1"/>
          <c:order val="1"/>
          <c:tx>
            <c:strRef>
              <c:f>'Option Button'!$C$13</c:f>
              <c:strCache>
                <c:ptCount val="1"/>
                <c:pt idx="0">
                  <c:v>Return on Asset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'Option Button'!$A$14:$A$20</c:f>
              <c:numCache>
                <c:formatCode>General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numCache>
            </c:numRef>
          </c:cat>
          <c:val>
            <c:numRef>
              <c:f>'Option Button'!$C$14:$C$20</c:f>
              <c:numCache>
                <c:formatCode>0.0%</c:formatCode>
                <c:ptCount val="7"/>
                <c:pt idx="0">
                  <c:v>1.7999999999999999E-2</c:v>
                </c:pt>
                <c:pt idx="1">
                  <c:v>5.0000000000000001E-3</c:v>
                </c:pt>
                <c:pt idx="2">
                  <c:v>5.0000000000000001E-3</c:v>
                </c:pt>
                <c:pt idx="3">
                  <c:v>2E-3</c:v>
                </c:pt>
                <c:pt idx="4">
                  <c:v>4.0000000000000001E-3</c:v>
                </c:pt>
                <c:pt idx="5">
                  <c:v>2E-3</c:v>
                </c:pt>
                <c:pt idx="6">
                  <c:v>3.0000000000000001E-3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926696"/>
        <c:axId val="323924344"/>
      </c:lineChart>
      <c:catAx>
        <c:axId val="323921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923952"/>
        <c:crosses val="autoZero"/>
        <c:auto val="1"/>
        <c:lblAlgn val="ctr"/>
        <c:lblOffset val="100"/>
        <c:noMultiLvlLbl val="0"/>
      </c:catAx>
      <c:valAx>
        <c:axId val="32392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921208"/>
        <c:crosses val="autoZero"/>
        <c:crossBetween val="between"/>
      </c:valAx>
      <c:valAx>
        <c:axId val="32392434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926696"/>
        <c:crosses val="max"/>
        <c:crossBetween val="between"/>
      </c:valAx>
      <c:catAx>
        <c:axId val="323926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39243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Box'!$B$15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'Combo Box'!$A$16:$A$22</c:f>
              <c:numCache>
                <c:formatCode>General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numCache>
            </c:numRef>
          </c:cat>
          <c:val>
            <c:numRef>
              <c:f>'Combo Box'!$B$16:$B$22</c:f>
              <c:numCache>
                <c:formatCode>#,##0</c:formatCode>
                <c:ptCount val="7"/>
                <c:pt idx="0">
                  <c:v>2132</c:v>
                </c:pt>
                <c:pt idx="1">
                  <c:v>2143</c:v>
                </c:pt>
                <c:pt idx="2">
                  <c:v>2345</c:v>
                </c:pt>
                <c:pt idx="3">
                  <c:v>2547</c:v>
                </c:pt>
                <c:pt idx="4">
                  <c:v>2765</c:v>
                </c:pt>
                <c:pt idx="5">
                  <c:v>3012</c:v>
                </c:pt>
                <c:pt idx="6">
                  <c:v>3243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3921992"/>
        <c:axId val="323920032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'Combo Box'!$A$16:$A$22</c:f>
              <c:numCache>
                <c:formatCode>General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numCache>
            </c:numRef>
          </c:cat>
          <c:val>
            <c:numRef>
              <c:f>'Combo Box'!$C$16:$C$22</c:f>
              <c:numCache>
                <c:formatCode>0.0%</c:formatCode>
                <c:ptCount val="7"/>
                <c:pt idx="0">
                  <c:v>0.02</c:v>
                </c:pt>
                <c:pt idx="1">
                  <c:v>2.1000000000000001E-2</c:v>
                </c:pt>
                <c:pt idx="2">
                  <c:v>2.3E-2</c:v>
                </c:pt>
                <c:pt idx="3">
                  <c:v>7.0000000000000007E-2</c:v>
                </c:pt>
                <c:pt idx="4">
                  <c:v>0.1</c:v>
                </c:pt>
                <c:pt idx="5">
                  <c:v>0.06</c:v>
                </c:pt>
                <c:pt idx="6">
                  <c:v>0.05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925128"/>
        <c:axId val="323925520"/>
      </c:lineChart>
      <c:catAx>
        <c:axId val="323921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920032"/>
        <c:crosses val="autoZero"/>
        <c:auto val="1"/>
        <c:lblAlgn val="ctr"/>
        <c:lblOffset val="100"/>
        <c:noMultiLvlLbl val="0"/>
      </c:catAx>
      <c:valAx>
        <c:axId val="32392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921992"/>
        <c:crosses val="autoZero"/>
        <c:crossBetween val="between"/>
      </c:valAx>
      <c:valAx>
        <c:axId val="32392552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925128"/>
        <c:crosses val="max"/>
        <c:crossBetween val="between"/>
      </c:valAx>
      <c:catAx>
        <c:axId val="323925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3925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$L$2" max="19" min="1" noThreeD="1" page="5" val="5"/>
</file>

<file path=xl/ctrlProps/ctrlProp2.xml><?xml version="1.0" encoding="utf-8"?>
<formControlPr xmlns="http://schemas.microsoft.com/office/spreadsheetml/2009/9/main" objectType="CheckBox" fmlaLink="$C$7" lockText="1" noThreeD="1"/>
</file>

<file path=xl/ctrlProps/ctrlProp3.xml><?xml version="1.0" encoding="utf-8"?>
<formControlPr xmlns="http://schemas.microsoft.com/office/spreadsheetml/2009/9/main" objectType="CheckBox" fmlaLink="$C$8" lockText="1" noThreeD="1"/>
</file>

<file path=xl/ctrlProps/ctrlProp4.xml><?xml version="1.0" encoding="utf-8"?>
<formControlPr xmlns="http://schemas.microsoft.com/office/spreadsheetml/2009/9/main" objectType="Radio" firstButton="1" fmlaLink="$B$10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Radio" checked="Checked" lockText="1" noThreeD="1"/>
</file>

<file path=xl/ctrlProps/ctrlProp7.xml><?xml version="1.0" encoding="utf-8"?>
<formControlPr xmlns="http://schemas.microsoft.com/office/spreadsheetml/2009/9/main" objectType="Drop" dropLines="3" dropStyle="combo" dx="16" fmlaLink="$D$11" fmlaRange="$A$11:$A$13" noThreeD="1" sel="1" val="0"/>
</file>

<file path=xl/ctrlProps/ctrlProp8.xml><?xml version="1.0" encoding="utf-8"?>
<formControlPr xmlns="http://schemas.microsoft.com/office/spreadsheetml/2009/9/main" objectType="List" dx="22" fmlaLink="$E$11" fmlaRange="$A$11:$A$13" noThreeD="1" sel="3" val="0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371475</xdr:colOff>
          <xdr:row>2</xdr:row>
          <xdr:rowOff>38100</xdr:rowOff>
        </xdr:from>
        <xdr:to>
          <xdr:col>6</xdr:col>
          <xdr:colOff>552450</xdr:colOff>
          <xdr:row>11</xdr:row>
          <xdr:rowOff>171450</xdr:rowOff>
        </xdr:to>
        <xdr:sp macro="" textlink="">
          <xdr:nvSpPr>
            <xdr:cNvPr id="2051" name="Scroll Bar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285750</xdr:colOff>
          <xdr:row>2</xdr:row>
          <xdr:rowOff>161925</xdr:rowOff>
        </xdr:from>
        <xdr:to>
          <xdr:col>11</xdr:col>
          <xdr:colOff>485775</xdr:colOff>
          <xdr:row>3</xdr:row>
          <xdr:rowOff>180975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409575</xdr:colOff>
          <xdr:row>2</xdr:row>
          <xdr:rowOff>161925</xdr:rowOff>
        </xdr:from>
        <xdr:to>
          <xdr:col>13</xdr:col>
          <xdr:colOff>0</xdr:colOff>
          <xdr:row>3</xdr:row>
          <xdr:rowOff>180975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2012</a:t>
              </a:r>
            </a:p>
          </xdr:txBody>
        </xdr:sp>
        <xdr:clientData/>
      </xdr:twoCellAnchor>
    </mc:Choice>
    <mc:Fallback/>
  </mc:AlternateContent>
  <xdr:twoCellAnchor>
    <xdr:from>
      <xdr:col>8</xdr:col>
      <xdr:colOff>57150</xdr:colOff>
      <xdr:row>4</xdr:row>
      <xdr:rowOff>61912</xdr:rowOff>
    </xdr:from>
    <xdr:to>
      <xdr:col>15</xdr:col>
      <xdr:colOff>361950</xdr:colOff>
      <xdr:row>18</xdr:row>
      <xdr:rowOff>138112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7</xdr:col>
          <xdr:colOff>419100</xdr:colOff>
          <xdr:row>4</xdr:row>
          <xdr:rowOff>19050</xdr:rowOff>
        </xdr:to>
        <xdr:sp macro="" textlink="">
          <xdr:nvSpPr>
            <xdr:cNvPr id="4098" name="Option Button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Net Income Margin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123825</xdr:rowOff>
        </xdr:from>
        <xdr:to>
          <xdr:col>7</xdr:col>
          <xdr:colOff>428625</xdr:colOff>
          <xdr:row>5</xdr:row>
          <xdr:rowOff>142875</xdr:rowOff>
        </xdr:to>
        <xdr:sp macro="" textlink="">
          <xdr:nvSpPr>
            <xdr:cNvPr id="4099" name="Option Button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EBITDA Margin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6</xdr:row>
          <xdr:rowOff>95250</xdr:rowOff>
        </xdr:from>
        <xdr:to>
          <xdr:col>7</xdr:col>
          <xdr:colOff>447675</xdr:colOff>
          <xdr:row>7</xdr:row>
          <xdr:rowOff>114300</xdr:rowOff>
        </xdr:to>
        <xdr:sp macro="" textlink="">
          <xdr:nvSpPr>
            <xdr:cNvPr id="4100" name="Option Button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RoA</a:t>
              </a:r>
            </a:p>
          </xdr:txBody>
        </xdr:sp>
        <xdr:clientData/>
      </xdr:twoCellAnchor>
    </mc:Choice>
    <mc:Fallback/>
  </mc:AlternateContent>
  <xdr:twoCellAnchor>
    <xdr:from>
      <xdr:col>8</xdr:col>
      <xdr:colOff>19050</xdr:colOff>
      <xdr:row>0</xdr:row>
      <xdr:rowOff>57150</xdr:rowOff>
    </xdr:from>
    <xdr:to>
      <xdr:col>15</xdr:col>
      <xdr:colOff>323850</xdr:colOff>
      <xdr:row>17</xdr:row>
      <xdr:rowOff>52387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3</xdr:row>
          <xdr:rowOff>85725</xdr:rowOff>
        </xdr:from>
        <xdr:to>
          <xdr:col>12</xdr:col>
          <xdr:colOff>190500</xdr:colOff>
          <xdr:row>5</xdr:row>
          <xdr:rowOff>28575</xdr:rowOff>
        </xdr:to>
        <xdr:sp macro="" textlink="">
          <xdr:nvSpPr>
            <xdr:cNvPr id="5122" name="Drop Down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200025</xdr:colOff>
      <xdr:row>6</xdr:row>
      <xdr:rowOff>166687</xdr:rowOff>
    </xdr:from>
    <xdr:to>
      <xdr:col>13</xdr:col>
      <xdr:colOff>504825</xdr:colOff>
      <xdr:row>21</xdr:row>
      <xdr:rowOff>166687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180975</xdr:colOff>
          <xdr:row>0</xdr:row>
          <xdr:rowOff>142875</xdr:rowOff>
        </xdr:from>
        <xdr:to>
          <xdr:col>15</xdr:col>
          <xdr:colOff>485775</xdr:colOff>
          <xdr:row>5</xdr:row>
          <xdr:rowOff>95250</xdr:rowOff>
        </xdr:to>
        <xdr:sp macro="" textlink="">
          <xdr:nvSpPr>
            <xdr:cNvPr id="5123" name="List Box 3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ctrlProp" Target="../ctrlProps/ctrlProp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30"/>
  <sheetViews>
    <sheetView showGridLines="0" zoomScale="90" zoomScaleNormal="90" workbookViewId="0">
      <selection activeCell="J18" sqref="J18"/>
    </sheetView>
  </sheetViews>
  <sheetFormatPr defaultRowHeight="15" x14ac:dyDescent="0.25"/>
  <cols>
    <col min="2" max="2" width="5" bestFit="1" customWidth="1"/>
    <col min="3" max="3" width="20.7109375" customWidth="1"/>
    <col min="4" max="4" width="13.28515625" bestFit="1" customWidth="1"/>
    <col min="5" max="5" width="16" customWidth="1"/>
    <col min="8" max="8" width="20.7109375" customWidth="1"/>
    <col min="9" max="9" width="13.28515625" bestFit="1" customWidth="1"/>
    <col min="10" max="10" width="16" customWidth="1"/>
    <col min="258" max="258" width="5" bestFit="1" customWidth="1"/>
    <col min="259" max="259" width="20.7109375" customWidth="1"/>
    <col min="260" max="260" width="13.28515625" bestFit="1" customWidth="1"/>
    <col min="261" max="261" width="16" customWidth="1"/>
    <col min="264" max="264" width="20.7109375" customWidth="1"/>
    <col min="265" max="265" width="13.28515625" bestFit="1" customWidth="1"/>
    <col min="266" max="266" width="16" customWidth="1"/>
    <col min="514" max="514" width="5" bestFit="1" customWidth="1"/>
    <col min="515" max="515" width="20.7109375" customWidth="1"/>
    <col min="516" max="516" width="13.28515625" bestFit="1" customWidth="1"/>
    <col min="517" max="517" width="16" customWidth="1"/>
    <col min="520" max="520" width="20.7109375" customWidth="1"/>
    <col min="521" max="521" width="13.28515625" bestFit="1" customWidth="1"/>
    <col min="522" max="522" width="16" customWidth="1"/>
    <col min="770" max="770" width="5" bestFit="1" customWidth="1"/>
    <col min="771" max="771" width="20.7109375" customWidth="1"/>
    <col min="772" max="772" width="13.28515625" bestFit="1" customWidth="1"/>
    <col min="773" max="773" width="16" customWidth="1"/>
    <col min="776" max="776" width="20.7109375" customWidth="1"/>
    <col min="777" max="777" width="13.28515625" bestFit="1" customWidth="1"/>
    <col min="778" max="778" width="16" customWidth="1"/>
    <col min="1026" max="1026" width="5" bestFit="1" customWidth="1"/>
    <col min="1027" max="1027" width="20.7109375" customWidth="1"/>
    <col min="1028" max="1028" width="13.28515625" bestFit="1" customWidth="1"/>
    <col min="1029" max="1029" width="16" customWidth="1"/>
    <col min="1032" max="1032" width="20.7109375" customWidth="1"/>
    <col min="1033" max="1033" width="13.28515625" bestFit="1" customWidth="1"/>
    <col min="1034" max="1034" width="16" customWidth="1"/>
    <col min="1282" max="1282" width="5" bestFit="1" customWidth="1"/>
    <col min="1283" max="1283" width="20.7109375" customWidth="1"/>
    <col min="1284" max="1284" width="13.28515625" bestFit="1" customWidth="1"/>
    <col min="1285" max="1285" width="16" customWidth="1"/>
    <col min="1288" max="1288" width="20.7109375" customWidth="1"/>
    <col min="1289" max="1289" width="13.28515625" bestFit="1" customWidth="1"/>
    <col min="1290" max="1290" width="16" customWidth="1"/>
    <col min="1538" max="1538" width="5" bestFit="1" customWidth="1"/>
    <col min="1539" max="1539" width="20.7109375" customWidth="1"/>
    <col min="1540" max="1540" width="13.28515625" bestFit="1" customWidth="1"/>
    <col min="1541" max="1541" width="16" customWidth="1"/>
    <col min="1544" max="1544" width="20.7109375" customWidth="1"/>
    <col min="1545" max="1545" width="13.28515625" bestFit="1" customWidth="1"/>
    <col min="1546" max="1546" width="16" customWidth="1"/>
    <col min="1794" max="1794" width="5" bestFit="1" customWidth="1"/>
    <col min="1795" max="1795" width="20.7109375" customWidth="1"/>
    <col min="1796" max="1796" width="13.28515625" bestFit="1" customWidth="1"/>
    <col min="1797" max="1797" width="16" customWidth="1"/>
    <col min="1800" max="1800" width="20.7109375" customWidth="1"/>
    <col min="1801" max="1801" width="13.28515625" bestFit="1" customWidth="1"/>
    <col min="1802" max="1802" width="16" customWidth="1"/>
    <col min="2050" max="2050" width="5" bestFit="1" customWidth="1"/>
    <col min="2051" max="2051" width="20.7109375" customWidth="1"/>
    <col min="2052" max="2052" width="13.28515625" bestFit="1" customWidth="1"/>
    <col min="2053" max="2053" width="16" customWidth="1"/>
    <col min="2056" max="2056" width="20.7109375" customWidth="1"/>
    <col min="2057" max="2057" width="13.28515625" bestFit="1" customWidth="1"/>
    <col min="2058" max="2058" width="16" customWidth="1"/>
    <col min="2306" max="2306" width="5" bestFit="1" customWidth="1"/>
    <col min="2307" max="2307" width="20.7109375" customWidth="1"/>
    <col min="2308" max="2308" width="13.28515625" bestFit="1" customWidth="1"/>
    <col min="2309" max="2309" width="16" customWidth="1"/>
    <col min="2312" max="2312" width="20.7109375" customWidth="1"/>
    <col min="2313" max="2313" width="13.28515625" bestFit="1" customWidth="1"/>
    <col min="2314" max="2314" width="16" customWidth="1"/>
    <col min="2562" max="2562" width="5" bestFit="1" customWidth="1"/>
    <col min="2563" max="2563" width="20.7109375" customWidth="1"/>
    <col min="2564" max="2564" width="13.28515625" bestFit="1" customWidth="1"/>
    <col min="2565" max="2565" width="16" customWidth="1"/>
    <col min="2568" max="2568" width="20.7109375" customWidth="1"/>
    <col min="2569" max="2569" width="13.28515625" bestFit="1" customWidth="1"/>
    <col min="2570" max="2570" width="16" customWidth="1"/>
    <col min="2818" max="2818" width="5" bestFit="1" customWidth="1"/>
    <col min="2819" max="2819" width="20.7109375" customWidth="1"/>
    <col min="2820" max="2820" width="13.28515625" bestFit="1" customWidth="1"/>
    <col min="2821" max="2821" width="16" customWidth="1"/>
    <col min="2824" max="2824" width="20.7109375" customWidth="1"/>
    <col min="2825" max="2825" width="13.28515625" bestFit="1" customWidth="1"/>
    <col min="2826" max="2826" width="16" customWidth="1"/>
    <col min="3074" max="3074" width="5" bestFit="1" customWidth="1"/>
    <col min="3075" max="3075" width="20.7109375" customWidth="1"/>
    <col min="3076" max="3076" width="13.28515625" bestFit="1" customWidth="1"/>
    <col min="3077" max="3077" width="16" customWidth="1"/>
    <col min="3080" max="3080" width="20.7109375" customWidth="1"/>
    <col min="3081" max="3081" width="13.28515625" bestFit="1" customWidth="1"/>
    <col min="3082" max="3082" width="16" customWidth="1"/>
    <col min="3330" max="3330" width="5" bestFit="1" customWidth="1"/>
    <col min="3331" max="3331" width="20.7109375" customWidth="1"/>
    <col min="3332" max="3332" width="13.28515625" bestFit="1" customWidth="1"/>
    <col min="3333" max="3333" width="16" customWidth="1"/>
    <col min="3336" max="3336" width="20.7109375" customWidth="1"/>
    <col min="3337" max="3337" width="13.28515625" bestFit="1" customWidth="1"/>
    <col min="3338" max="3338" width="16" customWidth="1"/>
    <col min="3586" max="3586" width="5" bestFit="1" customWidth="1"/>
    <col min="3587" max="3587" width="20.7109375" customWidth="1"/>
    <col min="3588" max="3588" width="13.28515625" bestFit="1" customWidth="1"/>
    <col min="3589" max="3589" width="16" customWidth="1"/>
    <col min="3592" max="3592" width="20.7109375" customWidth="1"/>
    <col min="3593" max="3593" width="13.28515625" bestFit="1" customWidth="1"/>
    <col min="3594" max="3594" width="16" customWidth="1"/>
    <col min="3842" max="3842" width="5" bestFit="1" customWidth="1"/>
    <col min="3843" max="3843" width="20.7109375" customWidth="1"/>
    <col min="3844" max="3844" width="13.28515625" bestFit="1" customWidth="1"/>
    <col min="3845" max="3845" width="16" customWidth="1"/>
    <col min="3848" max="3848" width="20.7109375" customWidth="1"/>
    <col min="3849" max="3849" width="13.28515625" bestFit="1" customWidth="1"/>
    <col min="3850" max="3850" width="16" customWidth="1"/>
    <col min="4098" max="4098" width="5" bestFit="1" customWidth="1"/>
    <col min="4099" max="4099" width="20.7109375" customWidth="1"/>
    <col min="4100" max="4100" width="13.28515625" bestFit="1" customWidth="1"/>
    <col min="4101" max="4101" width="16" customWidth="1"/>
    <col min="4104" max="4104" width="20.7109375" customWidth="1"/>
    <col min="4105" max="4105" width="13.28515625" bestFit="1" customWidth="1"/>
    <col min="4106" max="4106" width="16" customWidth="1"/>
    <col min="4354" max="4354" width="5" bestFit="1" customWidth="1"/>
    <col min="4355" max="4355" width="20.7109375" customWidth="1"/>
    <col min="4356" max="4356" width="13.28515625" bestFit="1" customWidth="1"/>
    <col min="4357" max="4357" width="16" customWidth="1"/>
    <col min="4360" max="4360" width="20.7109375" customWidth="1"/>
    <col min="4361" max="4361" width="13.28515625" bestFit="1" customWidth="1"/>
    <col min="4362" max="4362" width="16" customWidth="1"/>
    <col min="4610" max="4610" width="5" bestFit="1" customWidth="1"/>
    <col min="4611" max="4611" width="20.7109375" customWidth="1"/>
    <col min="4612" max="4612" width="13.28515625" bestFit="1" customWidth="1"/>
    <col min="4613" max="4613" width="16" customWidth="1"/>
    <col min="4616" max="4616" width="20.7109375" customWidth="1"/>
    <col min="4617" max="4617" width="13.28515625" bestFit="1" customWidth="1"/>
    <col min="4618" max="4618" width="16" customWidth="1"/>
    <col min="4866" max="4866" width="5" bestFit="1" customWidth="1"/>
    <col min="4867" max="4867" width="20.7109375" customWidth="1"/>
    <col min="4868" max="4868" width="13.28515625" bestFit="1" customWidth="1"/>
    <col min="4869" max="4869" width="16" customWidth="1"/>
    <col min="4872" max="4872" width="20.7109375" customWidth="1"/>
    <col min="4873" max="4873" width="13.28515625" bestFit="1" customWidth="1"/>
    <col min="4874" max="4874" width="16" customWidth="1"/>
    <col min="5122" max="5122" width="5" bestFit="1" customWidth="1"/>
    <col min="5123" max="5123" width="20.7109375" customWidth="1"/>
    <col min="5124" max="5124" width="13.28515625" bestFit="1" customWidth="1"/>
    <col min="5125" max="5125" width="16" customWidth="1"/>
    <col min="5128" max="5128" width="20.7109375" customWidth="1"/>
    <col min="5129" max="5129" width="13.28515625" bestFit="1" customWidth="1"/>
    <col min="5130" max="5130" width="16" customWidth="1"/>
    <col min="5378" max="5378" width="5" bestFit="1" customWidth="1"/>
    <col min="5379" max="5379" width="20.7109375" customWidth="1"/>
    <col min="5380" max="5380" width="13.28515625" bestFit="1" customWidth="1"/>
    <col min="5381" max="5381" width="16" customWidth="1"/>
    <col min="5384" max="5384" width="20.7109375" customWidth="1"/>
    <col min="5385" max="5385" width="13.28515625" bestFit="1" customWidth="1"/>
    <col min="5386" max="5386" width="16" customWidth="1"/>
    <col min="5634" max="5634" width="5" bestFit="1" customWidth="1"/>
    <col min="5635" max="5635" width="20.7109375" customWidth="1"/>
    <col min="5636" max="5636" width="13.28515625" bestFit="1" customWidth="1"/>
    <col min="5637" max="5637" width="16" customWidth="1"/>
    <col min="5640" max="5640" width="20.7109375" customWidth="1"/>
    <col min="5641" max="5641" width="13.28515625" bestFit="1" customWidth="1"/>
    <col min="5642" max="5642" width="16" customWidth="1"/>
    <col min="5890" max="5890" width="5" bestFit="1" customWidth="1"/>
    <col min="5891" max="5891" width="20.7109375" customWidth="1"/>
    <col min="5892" max="5892" width="13.28515625" bestFit="1" customWidth="1"/>
    <col min="5893" max="5893" width="16" customWidth="1"/>
    <col min="5896" max="5896" width="20.7109375" customWidth="1"/>
    <col min="5897" max="5897" width="13.28515625" bestFit="1" customWidth="1"/>
    <col min="5898" max="5898" width="16" customWidth="1"/>
    <col min="6146" max="6146" width="5" bestFit="1" customWidth="1"/>
    <col min="6147" max="6147" width="20.7109375" customWidth="1"/>
    <col min="6148" max="6148" width="13.28515625" bestFit="1" customWidth="1"/>
    <col min="6149" max="6149" width="16" customWidth="1"/>
    <col min="6152" max="6152" width="20.7109375" customWidth="1"/>
    <col min="6153" max="6153" width="13.28515625" bestFit="1" customWidth="1"/>
    <col min="6154" max="6154" width="16" customWidth="1"/>
    <col min="6402" max="6402" width="5" bestFit="1" customWidth="1"/>
    <col min="6403" max="6403" width="20.7109375" customWidth="1"/>
    <col min="6404" max="6404" width="13.28515625" bestFit="1" customWidth="1"/>
    <col min="6405" max="6405" width="16" customWidth="1"/>
    <col min="6408" max="6408" width="20.7109375" customWidth="1"/>
    <col min="6409" max="6409" width="13.28515625" bestFit="1" customWidth="1"/>
    <col min="6410" max="6410" width="16" customWidth="1"/>
    <col min="6658" max="6658" width="5" bestFit="1" customWidth="1"/>
    <col min="6659" max="6659" width="20.7109375" customWidth="1"/>
    <col min="6660" max="6660" width="13.28515625" bestFit="1" customWidth="1"/>
    <col min="6661" max="6661" width="16" customWidth="1"/>
    <col min="6664" max="6664" width="20.7109375" customWidth="1"/>
    <col min="6665" max="6665" width="13.28515625" bestFit="1" customWidth="1"/>
    <col min="6666" max="6666" width="16" customWidth="1"/>
    <col min="6914" max="6914" width="5" bestFit="1" customWidth="1"/>
    <col min="6915" max="6915" width="20.7109375" customWidth="1"/>
    <col min="6916" max="6916" width="13.28515625" bestFit="1" customWidth="1"/>
    <col min="6917" max="6917" width="16" customWidth="1"/>
    <col min="6920" max="6920" width="20.7109375" customWidth="1"/>
    <col min="6921" max="6921" width="13.28515625" bestFit="1" customWidth="1"/>
    <col min="6922" max="6922" width="16" customWidth="1"/>
    <col min="7170" max="7170" width="5" bestFit="1" customWidth="1"/>
    <col min="7171" max="7171" width="20.7109375" customWidth="1"/>
    <col min="7172" max="7172" width="13.28515625" bestFit="1" customWidth="1"/>
    <col min="7173" max="7173" width="16" customWidth="1"/>
    <col min="7176" max="7176" width="20.7109375" customWidth="1"/>
    <col min="7177" max="7177" width="13.28515625" bestFit="1" customWidth="1"/>
    <col min="7178" max="7178" width="16" customWidth="1"/>
    <col min="7426" max="7426" width="5" bestFit="1" customWidth="1"/>
    <col min="7427" max="7427" width="20.7109375" customWidth="1"/>
    <col min="7428" max="7428" width="13.28515625" bestFit="1" customWidth="1"/>
    <col min="7429" max="7429" width="16" customWidth="1"/>
    <col min="7432" max="7432" width="20.7109375" customWidth="1"/>
    <col min="7433" max="7433" width="13.28515625" bestFit="1" customWidth="1"/>
    <col min="7434" max="7434" width="16" customWidth="1"/>
    <col min="7682" max="7682" width="5" bestFit="1" customWidth="1"/>
    <col min="7683" max="7683" width="20.7109375" customWidth="1"/>
    <col min="7684" max="7684" width="13.28515625" bestFit="1" customWidth="1"/>
    <col min="7685" max="7685" width="16" customWidth="1"/>
    <col min="7688" max="7688" width="20.7109375" customWidth="1"/>
    <col min="7689" max="7689" width="13.28515625" bestFit="1" customWidth="1"/>
    <col min="7690" max="7690" width="16" customWidth="1"/>
    <col min="7938" max="7938" width="5" bestFit="1" customWidth="1"/>
    <col min="7939" max="7939" width="20.7109375" customWidth="1"/>
    <col min="7940" max="7940" width="13.28515625" bestFit="1" customWidth="1"/>
    <col min="7941" max="7941" width="16" customWidth="1"/>
    <col min="7944" max="7944" width="20.7109375" customWidth="1"/>
    <col min="7945" max="7945" width="13.28515625" bestFit="1" customWidth="1"/>
    <col min="7946" max="7946" width="16" customWidth="1"/>
    <col min="8194" max="8194" width="5" bestFit="1" customWidth="1"/>
    <col min="8195" max="8195" width="20.7109375" customWidth="1"/>
    <col min="8196" max="8196" width="13.28515625" bestFit="1" customWidth="1"/>
    <col min="8197" max="8197" width="16" customWidth="1"/>
    <col min="8200" max="8200" width="20.7109375" customWidth="1"/>
    <col min="8201" max="8201" width="13.28515625" bestFit="1" customWidth="1"/>
    <col min="8202" max="8202" width="16" customWidth="1"/>
    <col min="8450" max="8450" width="5" bestFit="1" customWidth="1"/>
    <col min="8451" max="8451" width="20.7109375" customWidth="1"/>
    <col min="8452" max="8452" width="13.28515625" bestFit="1" customWidth="1"/>
    <col min="8453" max="8453" width="16" customWidth="1"/>
    <col min="8456" max="8456" width="20.7109375" customWidth="1"/>
    <col min="8457" max="8457" width="13.28515625" bestFit="1" customWidth="1"/>
    <col min="8458" max="8458" width="16" customWidth="1"/>
    <col min="8706" max="8706" width="5" bestFit="1" customWidth="1"/>
    <col min="8707" max="8707" width="20.7109375" customWidth="1"/>
    <col min="8708" max="8708" width="13.28515625" bestFit="1" customWidth="1"/>
    <col min="8709" max="8709" width="16" customWidth="1"/>
    <col min="8712" max="8712" width="20.7109375" customWidth="1"/>
    <col min="8713" max="8713" width="13.28515625" bestFit="1" customWidth="1"/>
    <col min="8714" max="8714" width="16" customWidth="1"/>
    <col min="8962" max="8962" width="5" bestFit="1" customWidth="1"/>
    <col min="8963" max="8963" width="20.7109375" customWidth="1"/>
    <col min="8964" max="8964" width="13.28515625" bestFit="1" customWidth="1"/>
    <col min="8965" max="8965" width="16" customWidth="1"/>
    <col min="8968" max="8968" width="20.7109375" customWidth="1"/>
    <col min="8969" max="8969" width="13.28515625" bestFit="1" customWidth="1"/>
    <col min="8970" max="8970" width="16" customWidth="1"/>
    <col min="9218" max="9218" width="5" bestFit="1" customWidth="1"/>
    <col min="9219" max="9219" width="20.7109375" customWidth="1"/>
    <col min="9220" max="9220" width="13.28515625" bestFit="1" customWidth="1"/>
    <col min="9221" max="9221" width="16" customWidth="1"/>
    <col min="9224" max="9224" width="20.7109375" customWidth="1"/>
    <col min="9225" max="9225" width="13.28515625" bestFit="1" customWidth="1"/>
    <col min="9226" max="9226" width="16" customWidth="1"/>
    <col min="9474" max="9474" width="5" bestFit="1" customWidth="1"/>
    <col min="9475" max="9475" width="20.7109375" customWidth="1"/>
    <col min="9476" max="9476" width="13.28515625" bestFit="1" customWidth="1"/>
    <col min="9477" max="9477" width="16" customWidth="1"/>
    <col min="9480" max="9480" width="20.7109375" customWidth="1"/>
    <col min="9481" max="9481" width="13.28515625" bestFit="1" customWidth="1"/>
    <col min="9482" max="9482" width="16" customWidth="1"/>
    <col min="9730" max="9730" width="5" bestFit="1" customWidth="1"/>
    <col min="9731" max="9731" width="20.7109375" customWidth="1"/>
    <col min="9732" max="9732" width="13.28515625" bestFit="1" customWidth="1"/>
    <col min="9733" max="9733" width="16" customWidth="1"/>
    <col min="9736" max="9736" width="20.7109375" customWidth="1"/>
    <col min="9737" max="9737" width="13.28515625" bestFit="1" customWidth="1"/>
    <col min="9738" max="9738" width="16" customWidth="1"/>
    <col min="9986" max="9986" width="5" bestFit="1" customWidth="1"/>
    <col min="9987" max="9987" width="20.7109375" customWidth="1"/>
    <col min="9988" max="9988" width="13.28515625" bestFit="1" customWidth="1"/>
    <col min="9989" max="9989" width="16" customWidth="1"/>
    <col min="9992" max="9992" width="20.7109375" customWidth="1"/>
    <col min="9993" max="9993" width="13.28515625" bestFit="1" customWidth="1"/>
    <col min="9994" max="9994" width="16" customWidth="1"/>
    <col min="10242" max="10242" width="5" bestFit="1" customWidth="1"/>
    <col min="10243" max="10243" width="20.7109375" customWidth="1"/>
    <col min="10244" max="10244" width="13.28515625" bestFit="1" customWidth="1"/>
    <col min="10245" max="10245" width="16" customWidth="1"/>
    <col min="10248" max="10248" width="20.7109375" customWidth="1"/>
    <col min="10249" max="10249" width="13.28515625" bestFit="1" customWidth="1"/>
    <col min="10250" max="10250" width="16" customWidth="1"/>
    <col min="10498" max="10498" width="5" bestFit="1" customWidth="1"/>
    <col min="10499" max="10499" width="20.7109375" customWidth="1"/>
    <col min="10500" max="10500" width="13.28515625" bestFit="1" customWidth="1"/>
    <col min="10501" max="10501" width="16" customWidth="1"/>
    <col min="10504" max="10504" width="20.7109375" customWidth="1"/>
    <col min="10505" max="10505" width="13.28515625" bestFit="1" customWidth="1"/>
    <col min="10506" max="10506" width="16" customWidth="1"/>
    <col min="10754" max="10754" width="5" bestFit="1" customWidth="1"/>
    <col min="10755" max="10755" width="20.7109375" customWidth="1"/>
    <col min="10756" max="10756" width="13.28515625" bestFit="1" customWidth="1"/>
    <col min="10757" max="10757" width="16" customWidth="1"/>
    <col min="10760" max="10760" width="20.7109375" customWidth="1"/>
    <col min="10761" max="10761" width="13.28515625" bestFit="1" customWidth="1"/>
    <col min="10762" max="10762" width="16" customWidth="1"/>
    <col min="11010" max="11010" width="5" bestFit="1" customWidth="1"/>
    <col min="11011" max="11011" width="20.7109375" customWidth="1"/>
    <col min="11012" max="11012" width="13.28515625" bestFit="1" customWidth="1"/>
    <col min="11013" max="11013" width="16" customWidth="1"/>
    <col min="11016" max="11016" width="20.7109375" customWidth="1"/>
    <col min="11017" max="11017" width="13.28515625" bestFit="1" customWidth="1"/>
    <col min="11018" max="11018" width="16" customWidth="1"/>
    <col min="11266" max="11266" width="5" bestFit="1" customWidth="1"/>
    <col min="11267" max="11267" width="20.7109375" customWidth="1"/>
    <col min="11268" max="11268" width="13.28515625" bestFit="1" customWidth="1"/>
    <col min="11269" max="11269" width="16" customWidth="1"/>
    <col min="11272" max="11272" width="20.7109375" customWidth="1"/>
    <col min="11273" max="11273" width="13.28515625" bestFit="1" customWidth="1"/>
    <col min="11274" max="11274" width="16" customWidth="1"/>
    <col min="11522" max="11522" width="5" bestFit="1" customWidth="1"/>
    <col min="11523" max="11523" width="20.7109375" customWidth="1"/>
    <col min="11524" max="11524" width="13.28515625" bestFit="1" customWidth="1"/>
    <col min="11525" max="11525" width="16" customWidth="1"/>
    <col min="11528" max="11528" width="20.7109375" customWidth="1"/>
    <col min="11529" max="11529" width="13.28515625" bestFit="1" customWidth="1"/>
    <col min="11530" max="11530" width="16" customWidth="1"/>
    <col min="11778" max="11778" width="5" bestFit="1" customWidth="1"/>
    <col min="11779" max="11779" width="20.7109375" customWidth="1"/>
    <col min="11780" max="11780" width="13.28515625" bestFit="1" customWidth="1"/>
    <col min="11781" max="11781" width="16" customWidth="1"/>
    <col min="11784" max="11784" width="20.7109375" customWidth="1"/>
    <col min="11785" max="11785" width="13.28515625" bestFit="1" customWidth="1"/>
    <col min="11786" max="11786" width="16" customWidth="1"/>
    <col min="12034" max="12034" width="5" bestFit="1" customWidth="1"/>
    <col min="12035" max="12035" width="20.7109375" customWidth="1"/>
    <col min="12036" max="12036" width="13.28515625" bestFit="1" customWidth="1"/>
    <col min="12037" max="12037" width="16" customWidth="1"/>
    <col min="12040" max="12040" width="20.7109375" customWidth="1"/>
    <col min="12041" max="12041" width="13.28515625" bestFit="1" customWidth="1"/>
    <col min="12042" max="12042" width="16" customWidth="1"/>
    <col min="12290" max="12290" width="5" bestFit="1" customWidth="1"/>
    <col min="12291" max="12291" width="20.7109375" customWidth="1"/>
    <col min="12292" max="12292" width="13.28515625" bestFit="1" customWidth="1"/>
    <col min="12293" max="12293" width="16" customWidth="1"/>
    <col min="12296" max="12296" width="20.7109375" customWidth="1"/>
    <col min="12297" max="12297" width="13.28515625" bestFit="1" customWidth="1"/>
    <col min="12298" max="12298" width="16" customWidth="1"/>
    <col min="12546" max="12546" width="5" bestFit="1" customWidth="1"/>
    <col min="12547" max="12547" width="20.7109375" customWidth="1"/>
    <col min="12548" max="12548" width="13.28515625" bestFit="1" customWidth="1"/>
    <col min="12549" max="12549" width="16" customWidth="1"/>
    <col min="12552" max="12552" width="20.7109375" customWidth="1"/>
    <col min="12553" max="12553" width="13.28515625" bestFit="1" customWidth="1"/>
    <col min="12554" max="12554" width="16" customWidth="1"/>
    <col min="12802" max="12802" width="5" bestFit="1" customWidth="1"/>
    <col min="12803" max="12803" width="20.7109375" customWidth="1"/>
    <col min="12804" max="12804" width="13.28515625" bestFit="1" customWidth="1"/>
    <col min="12805" max="12805" width="16" customWidth="1"/>
    <col min="12808" max="12808" width="20.7109375" customWidth="1"/>
    <col min="12809" max="12809" width="13.28515625" bestFit="1" customWidth="1"/>
    <col min="12810" max="12810" width="16" customWidth="1"/>
    <col min="13058" max="13058" width="5" bestFit="1" customWidth="1"/>
    <col min="13059" max="13059" width="20.7109375" customWidth="1"/>
    <col min="13060" max="13060" width="13.28515625" bestFit="1" customWidth="1"/>
    <col min="13061" max="13061" width="16" customWidth="1"/>
    <col min="13064" max="13064" width="20.7109375" customWidth="1"/>
    <col min="13065" max="13065" width="13.28515625" bestFit="1" customWidth="1"/>
    <col min="13066" max="13066" width="16" customWidth="1"/>
    <col min="13314" max="13314" width="5" bestFit="1" customWidth="1"/>
    <col min="13315" max="13315" width="20.7109375" customWidth="1"/>
    <col min="13316" max="13316" width="13.28515625" bestFit="1" customWidth="1"/>
    <col min="13317" max="13317" width="16" customWidth="1"/>
    <col min="13320" max="13320" width="20.7109375" customWidth="1"/>
    <col min="13321" max="13321" width="13.28515625" bestFit="1" customWidth="1"/>
    <col min="13322" max="13322" width="16" customWidth="1"/>
    <col min="13570" max="13570" width="5" bestFit="1" customWidth="1"/>
    <col min="13571" max="13571" width="20.7109375" customWidth="1"/>
    <col min="13572" max="13572" width="13.28515625" bestFit="1" customWidth="1"/>
    <col min="13573" max="13573" width="16" customWidth="1"/>
    <col min="13576" max="13576" width="20.7109375" customWidth="1"/>
    <col min="13577" max="13577" width="13.28515625" bestFit="1" customWidth="1"/>
    <col min="13578" max="13578" width="16" customWidth="1"/>
    <col min="13826" max="13826" width="5" bestFit="1" customWidth="1"/>
    <col min="13827" max="13827" width="20.7109375" customWidth="1"/>
    <col min="13828" max="13828" width="13.28515625" bestFit="1" customWidth="1"/>
    <col min="13829" max="13829" width="16" customWidth="1"/>
    <col min="13832" max="13832" width="20.7109375" customWidth="1"/>
    <col min="13833" max="13833" width="13.28515625" bestFit="1" customWidth="1"/>
    <col min="13834" max="13834" width="16" customWidth="1"/>
    <col min="14082" max="14082" width="5" bestFit="1" customWidth="1"/>
    <col min="14083" max="14083" width="20.7109375" customWidth="1"/>
    <col min="14084" max="14084" width="13.28515625" bestFit="1" customWidth="1"/>
    <col min="14085" max="14085" width="16" customWidth="1"/>
    <col min="14088" max="14088" width="20.7109375" customWidth="1"/>
    <col min="14089" max="14089" width="13.28515625" bestFit="1" customWidth="1"/>
    <col min="14090" max="14090" width="16" customWidth="1"/>
    <col min="14338" max="14338" width="5" bestFit="1" customWidth="1"/>
    <col min="14339" max="14339" width="20.7109375" customWidth="1"/>
    <col min="14340" max="14340" width="13.28515625" bestFit="1" customWidth="1"/>
    <col min="14341" max="14341" width="16" customWidth="1"/>
    <col min="14344" max="14344" width="20.7109375" customWidth="1"/>
    <col min="14345" max="14345" width="13.28515625" bestFit="1" customWidth="1"/>
    <col min="14346" max="14346" width="16" customWidth="1"/>
    <col min="14594" max="14594" width="5" bestFit="1" customWidth="1"/>
    <col min="14595" max="14595" width="20.7109375" customWidth="1"/>
    <col min="14596" max="14596" width="13.28515625" bestFit="1" customWidth="1"/>
    <col min="14597" max="14597" width="16" customWidth="1"/>
    <col min="14600" max="14600" width="20.7109375" customWidth="1"/>
    <col min="14601" max="14601" width="13.28515625" bestFit="1" customWidth="1"/>
    <col min="14602" max="14602" width="16" customWidth="1"/>
    <col min="14850" max="14850" width="5" bestFit="1" customWidth="1"/>
    <col min="14851" max="14851" width="20.7109375" customWidth="1"/>
    <col min="14852" max="14852" width="13.28515625" bestFit="1" customWidth="1"/>
    <col min="14853" max="14853" width="16" customWidth="1"/>
    <col min="14856" max="14856" width="20.7109375" customWidth="1"/>
    <col min="14857" max="14857" width="13.28515625" bestFit="1" customWidth="1"/>
    <col min="14858" max="14858" width="16" customWidth="1"/>
    <col min="15106" max="15106" width="5" bestFit="1" customWidth="1"/>
    <col min="15107" max="15107" width="20.7109375" customWidth="1"/>
    <col min="15108" max="15108" width="13.28515625" bestFit="1" customWidth="1"/>
    <col min="15109" max="15109" width="16" customWidth="1"/>
    <col min="15112" max="15112" width="20.7109375" customWidth="1"/>
    <col min="15113" max="15113" width="13.28515625" bestFit="1" customWidth="1"/>
    <col min="15114" max="15114" width="16" customWidth="1"/>
    <col min="15362" max="15362" width="5" bestFit="1" customWidth="1"/>
    <col min="15363" max="15363" width="20.7109375" customWidth="1"/>
    <col min="15364" max="15364" width="13.28515625" bestFit="1" customWidth="1"/>
    <col min="15365" max="15365" width="16" customWidth="1"/>
    <col min="15368" max="15368" width="20.7109375" customWidth="1"/>
    <col min="15369" max="15369" width="13.28515625" bestFit="1" customWidth="1"/>
    <col min="15370" max="15370" width="16" customWidth="1"/>
    <col min="15618" max="15618" width="5" bestFit="1" customWidth="1"/>
    <col min="15619" max="15619" width="20.7109375" customWidth="1"/>
    <col min="15620" max="15620" width="13.28515625" bestFit="1" customWidth="1"/>
    <col min="15621" max="15621" width="16" customWidth="1"/>
    <col min="15624" max="15624" width="20.7109375" customWidth="1"/>
    <col min="15625" max="15625" width="13.28515625" bestFit="1" customWidth="1"/>
    <col min="15626" max="15626" width="16" customWidth="1"/>
    <col min="15874" max="15874" width="5" bestFit="1" customWidth="1"/>
    <col min="15875" max="15875" width="20.7109375" customWidth="1"/>
    <col min="15876" max="15876" width="13.28515625" bestFit="1" customWidth="1"/>
    <col min="15877" max="15877" width="16" customWidth="1"/>
    <col min="15880" max="15880" width="20.7109375" customWidth="1"/>
    <col min="15881" max="15881" width="13.28515625" bestFit="1" customWidth="1"/>
    <col min="15882" max="15882" width="16" customWidth="1"/>
    <col min="16130" max="16130" width="5" bestFit="1" customWidth="1"/>
    <col min="16131" max="16131" width="20.7109375" customWidth="1"/>
    <col min="16132" max="16132" width="13.28515625" bestFit="1" customWidth="1"/>
    <col min="16133" max="16133" width="16" customWidth="1"/>
    <col min="16136" max="16136" width="20.7109375" customWidth="1"/>
    <col min="16137" max="16137" width="13.28515625" bestFit="1" customWidth="1"/>
    <col min="16138" max="16138" width="16" customWidth="1"/>
  </cols>
  <sheetData>
    <row r="1" spans="2:13" x14ac:dyDescent="0.25">
      <c r="B1" s="14" t="s">
        <v>0</v>
      </c>
      <c r="C1" s="14"/>
      <c r="D1" s="14"/>
      <c r="E1" s="14"/>
    </row>
    <row r="2" spans="2:13" x14ac:dyDescent="0.25">
      <c r="B2" s="3" t="s">
        <v>1</v>
      </c>
      <c r="C2" s="3" t="s">
        <v>2</v>
      </c>
      <c r="D2" s="4" t="s">
        <v>3</v>
      </c>
      <c r="E2" s="4" t="s">
        <v>4</v>
      </c>
      <c r="H2" s="3" t="s">
        <v>2</v>
      </c>
      <c r="I2" s="4" t="s">
        <v>3</v>
      </c>
      <c r="J2" s="4" t="s">
        <v>4</v>
      </c>
      <c r="L2" s="1">
        <v>5</v>
      </c>
      <c r="M2">
        <v>2</v>
      </c>
    </row>
    <row r="3" spans="2:13" x14ac:dyDescent="0.25">
      <c r="B3" s="5">
        <v>1</v>
      </c>
      <c r="C3" s="1" t="s">
        <v>5</v>
      </c>
      <c r="D3" s="6">
        <v>275045</v>
      </c>
      <c r="E3" s="6">
        <v>76210007</v>
      </c>
      <c r="H3" s="1" t="str">
        <f>INDEX($C$3:$E$30,$L$2+ROWS($G$3:G3)-1,COLUMNS($G$3:G3))</f>
        <v xml:space="preserve"> Chhattisgarh</v>
      </c>
      <c r="I3" s="1">
        <f>INDEX($C$3:$E$30,$L$2+ROWS($G$3:H3)-1,COLUMNS($G$3:H3))</f>
        <v>135191</v>
      </c>
      <c r="J3" s="1">
        <f>INDEX($C$3:$E$30,$L$2+ROWS($G$3:I3)-1,COLUMNS($G$3:I3))</f>
        <v>20833803</v>
      </c>
    </row>
    <row r="4" spans="2:13" x14ac:dyDescent="0.25">
      <c r="B4" s="5">
        <v>2</v>
      </c>
      <c r="C4" s="1" t="s">
        <v>6</v>
      </c>
      <c r="D4" s="6">
        <v>83743</v>
      </c>
      <c r="E4" s="6">
        <v>1097968</v>
      </c>
      <c r="H4" s="1" t="str">
        <f>INDEX($C$3:$E$30,$L$2+ROWS($G$3:G4)-1,1)</f>
        <v xml:space="preserve"> Goa </v>
      </c>
      <c r="I4" s="1">
        <f>INDEX($C$3:$E$30,$L$2+ROWS($G$3:H4)-1,COLUMNS($G$3:H4))</f>
        <v>3702</v>
      </c>
      <c r="J4" s="1">
        <f>INDEX($C$3:$E$30,$L$2+ROWS($G$3:I4)-1,COLUMNS($G$3:I4))</f>
        <v>1347668</v>
      </c>
    </row>
    <row r="5" spans="2:13" x14ac:dyDescent="0.25">
      <c r="B5" s="5">
        <v>3</v>
      </c>
      <c r="C5" s="1" t="s">
        <v>7</v>
      </c>
      <c r="D5" s="6">
        <v>78438</v>
      </c>
      <c r="E5" s="6">
        <v>26655528</v>
      </c>
      <c r="H5" s="1" t="str">
        <f>INDEX($C$3:$E$30,$L$2+ROWS($G$3:G5)-1,1)</f>
        <v xml:space="preserve"> Gujarat</v>
      </c>
      <c r="I5" s="1">
        <f>INDEX($C$3:$E$30,$L$2+ROWS($G$3:H5)-1,COLUMNS($G$3:H5))</f>
        <v>196024</v>
      </c>
      <c r="J5" s="1">
        <f>INDEX($C$3:$E$30,$L$2+ROWS($G$3:I5)-1,COLUMNS($G$3:I5))</f>
        <v>50671017</v>
      </c>
    </row>
    <row r="6" spans="2:13" x14ac:dyDescent="0.25">
      <c r="B6" s="5">
        <v>4</v>
      </c>
      <c r="C6" s="1" t="s">
        <v>8</v>
      </c>
      <c r="D6" s="6">
        <v>94163</v>
      </c>
      <c r="E6" s="6">
        <v>82998509</v>
      </c>
      <c r="H6" s="1" t="str">
        <f>INDEX($C$3:$E$30,$L$2+ROWS($G$3:G6)-1,1)</f>
        <v xml:space="preserve"> Haryana</v>
      </c>
      <c r="I6" s="1">
        <f>INDEX($C$3:$E$30,$L$2+ROWS($G$3:H6)-1,COLUMNS($G$3:H6))</f>
        <v>44212</v>
      </c>
      <c r="J6" s="1">
        <f>INDEX($C$3:$E$30,$L$2+ROWS($G$3:I6)-1,COLUMNS($G$3:I6))</f>
        <v>21144564</v>
      </c>
    </row>
    <row r="7" spans="2:13" x14ac:dyDescent="0.25">
      <c r="B7" s="5">
        <v>5</v>
      </c>
      <c r="C7" s="1" t="s">
        <v>9</v>
      </c>
      <c r="D7" s="6">
        <v>135191</v>
      </c>
      <c r="E7" s="6">
        <v>20833803</v>
      </c>
      <c r="H7" s="1" t="str">
        <f>INDEX($C$3:$E$30,$L$2+ROWS($G$3:G7)-1,1)</f>
        <v xml:space="preserve"> Himachal Pradesh</v>
      </c>
      <c r="I7" s="1">
        <f>INDEX($C$3:$E$30,$L$2+ROWS($G$3:H7)-1,COLUMNS($G$3:H7))</f>
        <v>55673</v>
      </c>
      <c r="J7" s="1">
        <f>INDEX($C$3:$E$30,$L$2+ROWS($G$3:I7)-1,COLUMNS($G$3:I7))</f>
        <v>6077900</v>
      </c>
    </row>
    <row r="8" spans="2:13" x14ac:dyDescent="0.25">
      <c r="B8" s="5">
        <v>6</v>
      </c>
      <c r="C8" s="1" t="s">
        <v>10</v>
      </c>
      <c r="D8" s="6">
        <v>3702</v>
      </c>
      <c r="E8" s="6">
        <v>1347668</v>
      </c>
      <c r="H8" s="1" t="str">
        <f>INDEX($C$3:$E$30,$L$2+ROWS($G$3:G8)-1,1)</f>
        <v xml:space="preserve"> Jammu &amp; Kashmir</v>
      </c>
      <c r="I8" s="1">
        <f>INDEX($C$3:$E$30,$L$2+ROWS($G$3:H8)-1,COLUMNS($G$3:H8))</f>
        <v>222236</v>
      </c>
      <c r="J8" s="1">
        <f>INDEX($C$3:$E$30,$L$2+ROWS($G$3:I8)-1,COLUMNS($G$3:I8))</f>
        <v>10143700</v>
      </c>
    </row>
    <row r="9" spans="2:13" x14ac:dyDescent="0.25">
      <c r="B9" s="5">
        <v>7</v>
      </c>
      <c r="C9" s="1" t="s">
        <v>11</v>
      </c>
      <c r="D9" s="6">
        <v>196024</v>
      </c>
      <c r="E9" s="6">
        <v>50671017</v>
      </c>
      <c r="H9" s="1" t="str">
        <f>INDEX($C$3:$E$30,$L$2+ROWS($G$3:G9)-1,1)</f>
        <v xml:space="preserve"> Jharkhand</v>
      </c>
      <c r="I9" s="1">
        <f>INDEX($C$3:$E$30,$L$2+ROWS($G$3:H9)-1,COLUMNS($G$3:H9))</f>
        <v>79714</v>
      </c>
      <c r="J9" s="1">
        <f>INDEX($C$3:$E$30,$L$2+ROWS($G$3:I9)-1,COLUMNS($G$3:I9))</f>
        <v>26945829</v>
      </c>
    </row>
    <row r="10" spans="2:13" x14ac:dyDescent="0.25">
      <c r="B10" s="5">
        <v>8</v>
      </c>
      <c r="C10" s="1" t="s">
        <v>12</v>
      </c>
      <c r="D10" s="6">
        <v>44212</v>
      </c>
      <c r="E10" s="6">
        <v>21144564</v>
      </c>
      <c r="H10" s="1" t="str">
        <f>INDEX($C$3:$E$30,$L$2+ROWS($G$3:G10)-1,1)</f>
        <v xml:space="preserve"> Karnataka</v>
      </c>
      <c r="I10" s="1">
        <f>INDEX($C$3:$E$30,$L$2+ROWS($G$3:H10)-1,COLUMNS($G$3:H10))</f>
        <v>191791</v>
      </c>
      <c r="J10" s="1">
        <f>INDEX($C$3:$E$30,$L$2+ROWS($G$3:I10)-1,COLUMNS($G$3:I10))</f>
        <v>52850562</v>
      </c>
    </row>
    <row r="11" spans="2:13" x14ac:dyDescent="0.25">
      <c r="B11" s="5">
        <v>9</v>
      </c>
      <c r="C11" s="1" t="s">
        <v>13</v>
      </c>
      <c r="D11" s="6">
        <v>55673</v>
      </c>
      <c r="E11" s="6">
        <v>6077900</v>
      </c>
      <c r="H11" s="1" t="str">
        <f>INDEX($C$3:$E$30,$L$2+ROWS($G$3:G11)-1,1)</f>
        <v xml:space="preserve"> Kerala</v>
      </c>
      <c r="I11" s="1">
        <f>INDEX($C$3:$E$30,$L$2+ROWS($G$3:H11)-1,COLUMNS($G$3:H11))</f>
        <v>38863</v>
      </c>
      <c r="J11" s="1">
        <f>INDEX($C$3:$E$30,$L$2+ROWS($G$3:I11)-1,COLUMNS($G$3:I11))</f>
        <v>31841374</v>
      </c>
    </row>
    <row r="12" spans="2:13" x14ac:dyDescent="0.25">
      <c r="B12" s="5">
        <v>10</v>
      </c>
      <c r="C12" s="1" t="s">
        <v>14</v>
      </c>
      <c r="D12" s="6">
        <v>222236</v>
      </c>
      <c r="E12" s="6">
        <v>10143700</v>
      </c>
      <c r="H12" s="1" t="str">
        <f>INDEX($C$3:$E$30,$L$2+ROWS($G$3:G12)-1,1)</f>
        <v xml:space="preserve"> Madhya Pradesh</v>
      </c>
      <c r="I12" s="1">
        <f>INDEX($C$3:$E$30,$L$2+ROWS($G$3:H12)-1,COLUMNS($G$3:H12))</f>
        <v>308245</v>
      </c>
      <c r="J12" s="1">
        <f>INDEX($C$3:$E$30,$L$2+ROWS($G$3:I12)-1,COLUMNS($G$3:I12))</f>
        <v>60348023</v>
      </c>
    </row>
    <row r="13" spans="2:13" x14ac:dyDescent="0.25">
      <c r="B13" s="5">
        <v>11</v>
      </c>
      <c r="C13" s="1" t="s">
        <v>15</v>
      </c>
      <c r="D13" s="6">
        <v>79714</v>
      </c>
      <c r="E13" s="6">
        <v>26945829</v>
      </c>
    </row>
    <row r="14" spans="2:13" x14ac:dyDescent="0.25">
      <c r="B14" s="5">
        <v>12</v>
      </c>
      <c r="C14" s="1" t="s">
        <v>16</v>
      </c>
      <c r="D14" s="6">
        <v>191791</v>
      </c>
      <c r="E14" s="6">
        <v>52850562</v>
      </c>
    </row>
    <row r="15" spans="2:13" x14ac:dyDescent="0.25">
      <c r="B15" s="5">
        <v>13</v>
      </c>
      <c r="C15" s="1" t="s">
        <v>17</v>
      </c>
      <c r="D15" s="6">
        <v>38863</v>
      </c>
      <c r="E15" s="6">
        <v>31841374</v>
      </c>
    </row>
    <row r="16" spans="2:13" x14ac:dyDescent="0.25">
      <c r="B16" s="5">
        <v>14</v>
      </c>
      <c r="C16" s="1" t="s">
        <v>18</v>
      </c>
      <c r="D16" s="6">
        <v>308245</v>
      </c>
      <c r="E16" s="6">
        <v>60348023</v>
      </c>
    </row>
    <row r="17" spans="2:5" x14ac:dyDescent="0.25">
      <c r="B17" s="5">
        <v>15</v>
      </c>
      <c r="C17" s="1" t="s">
        <v>19</v>
      </c>
      <c r="D17" s="6">
        <v>307713</v>
      </c>
      <c r="E17" s="6">
        <v>96878627</v>
      </c>
    </row>
    <row r="18" spans="2:5" x14ac:dyDescent="0.25">
      <c r="B18" s="5">
        <v>16</v>
      </c>
      <c r="C18" s="1" t="s">
        <v>40</v>
      </c>
      <c r="D18" s="6">
        <v>22327</v>
      </c>
      <c r="E18" s="6">
        <v>2293896</v>
      </c>
    </row>
    <row r="19" spans="2:5" x14ac:dyDescent="0.25">
      <c r="B19" s="5">
        <v>17</v>
      </c>
      <c r="C19" s="1" t="s">
        <v>20</v>
      </c>
      <c r="D19" s="6">
        <v>22429</v>
      </c>
      <c r="E19" s="6">
        <v>2318822</v>
      </c>
    </row>
    <row r="20" spans="2:5" x14ac:dyDescent="0.25">
      <c r="B20" s="5">
        <v>18</v>
      </c>
      <c r="C20" s="1" t="s">
        <v>21</v>
      </c>
      <c r="D20" s="6">
        <v>21081</v>
      </c>
      <c r="E20" s="6">
        <v>888573</v>
      </c>
    </row>
    <row r="21" spans="2:5" x14ac:dyDescent="0.25">
      <c r="B21" s="5">
        <v>19</v>
      </c>
      <c r="C21" s="1" t="s">
        <v>22</v>
      </c>
      <c r="D21" s="6">
        <v>16579</v>
      </c>
      <c r="E21" s="6">
        <v>1990036</v>
      </c>
    </row>
    <row r="22" spans="2:5" x14ac:dyDescent="0.25">
      <c r="B22" s="5">
        <v>20</v>
      </c>
      <c r="C22" s="1" t="s">
        <v>23</v>
      </c>
      <c r="D22" s="6">
        <v>155707</v>
      </c>
      <c r="E22" s="6">
        <v>36804660</v>
      </c>
    </row>
    <row r="23" spans="2:5" x14ac:dyDescent="0.25">
      <c r="B23" s="5">
        <v>21</v>
      </c>
      <c r="C23" s="1" t="s">
        <v>24</v>
      </c>
      <c r="D23" s="6">
        <v>50362</v>
      </c>
      <c r="E23" s="6">
        <v>24358999</v>
      </c>
    </row>
    <row r="24" spans="2:5" x14ac:dyDescent="0.25">
      <c r="B24" s="5">
        <v>22</v>
      </c>
      <c r="C24" s="1" t="s">
        <v>25</v>
      </c>
      <c r="D24" s="6">
        <v>342239</v>
      </c>
      <c r="E24" s="6">
        <v>56507188</v>
      </c>
    </row>
    <row r="25" spans="2:5" x14ac:dyDescent="0.25">
      <c r="B25" s="5">
        <v>23</v>
      </c>
      <c r="C25" s="1" t="s">
        <v>26</v>
      </c>
      <c r="D25" s="6">
        <v>7096</v>
      </c>
      <c r="E25" s="6">
        <v>540851</v>
      </c>
    </row>
    <row r="26" spans="2:5" x14ac:dyDescent="0.25">
      <c r="B26" s="5">
        <v>24</v>
      </c>
      <c r="C26" s="1" t="s">
        <v>27</v>
      </c>
      <c r="D26" s="6">
        <v>130058</v>
      </c>
      <c r="E26" s="6">
        <v>62405679</v>
      </c>
    </row>
    <row r="27" spans="2:5" x14ac:dyDescent="0.25">
      <c r="B27" s="5">
        <v>25</v>
      </c>
      <c r="C27" s="1" t="s">
        <v>28</v>
      </c>
      <c r="D27" s="6">
        <v>10486</v>
      </c>
      <c r="E27" s="6">
        <v>3199203</v>
      </c>
    </row>
    <row r="28" spans="2:5" x14ac:dyDescent="0.25">
      <c r="B28" s="5">
        <v>26</v>
      </c>
      <c r="C28" s="1" t="s">
        <v>29</v>
      </c>
      <c r="D28" s="6">
        <v>240928</v>
      </c>
      <c r="E28" s="6">
        <v>166197921</v>
      </c>
    </row>
    <row r="29" spans="2:5" x14ac:dyDescent="0.25">
      <c r="B29" s="5">
        <v>27</v>
      </c>
      <c r="C29" s="1" t="s">
        <v>30</v>
      </c>
      <c r="D29" s="6">
        <v>53483</v>
      </c>
      <c r="E29" s="6">
        <v>8489349</v>
      </c>
    </row>
    <row r="30" spans="2:5" x14ac:dyDescent="0.25">
      <c r="B30" s="5">
        <v>28</v>
      </c>
      <c r="C30" s="1" t="s">
        <v>31</v>
      </c>
      <c r="D30" s="6">
        <v>88752</v>
      </c>
      <c r="E30" s="6">
        <v>80176197</v>
      </c>
    </row>
  </sheetData>
  <mergeCells count="1">
    <mergeCell ref="B1:E1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4" name="Scroll Bar 3">
              <controlPr defaultSize="0" autoPict="0">
                <anchor moveWithCells="1">
                  <from>
                    <xdr:col>6</xdr:col>
                    <xdr:colOff>371475</xdr:colOff>
                    <xdr:row>2</xdr:row>
                    <xdr:rowOff>38100</xdr:rowOff>
                  </from>
                  <to>
                    <xdr:col>6</xdr:col>
                    <xdr:colOff>552450</xdr:colOff>
                    <xdr:row>11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J13"/>
  <sheetViews>
    <sheetView showGridLines="0" workbookViewId="0">
      <selection activeCell="C11" sqref="C11:F11"/>
    </sheetView>
  </sheetViews>
  <sheetFormatPr defaultRowHeight="15" x14ac:dyDescent="0.25"/>
  <cols>
    <col min="1" max="1" width="3.140625" customWidth="1"/>
    <col min="257" max="257" width="3.140625" customWidth="1"/>
    <col min="513" max="513" width="3.140625" customWidth="1"/>
    <col min="769" max="769" width="3.140625" customWidth="1"/>
    <col min="1025" max="1025" width="3.140625" customWidth="1"/>
    <col min="1281" max="1281" width="3.140625" customWidth="1"/>
    <col min="1537" max="1537" width="3.140625" customWidth="1"/>
    <col min="1793" max="1793" width="3.140625" customWidth="1"/>
    <col min="2049" max="2049" width="3.140625" customWidth="1"/>
    <col min="2305" max="2305" width="3.140625" customWidth="1"/>
    <col min="2561" max="2561" width="3.140625" customWidth="1"/>
    <col min="2817" max="2817" width="3.140625" customWidth="1"/>
    <col min="3073" max="3073" width="3.140625" customWidth="1"/>
    <col min="3329" max="3329" width="3.140625" customWidth="1"/>
    <col min="3585" max="3585" width="3.140625" customWidth="1"/>
    <col min="3841" max="3841" width="3.140625" customWidth="1"/>
    <col min="4097" max="4097" width="3.140625" customWidth="1"/>
    <col min="4353" max="4353" width="3.140625" customWidth="1"/>
    <col min="4609" max="4609" width="3.140625" customWidth="1"/>
    <col min="4865" max="4865" width="3.140625" customWidth="1"/>
    <col min="5121" max="5121" width="3.140625" customWidth="1"/>
    <col min="5377" max="5377" width="3.140625" customWidth="1"/>
    <col min="5633" max="5633" width="3.140625" customWidth="1"/>
    <col min="5889" max="5889" width="3.140625" customWidth="1"/>
    <col min="6145" max="6145" width="3.140625" customWidth="1"/>
    <col min="6401" max="6401" width="3.140625" customWidth="1"/>
    <col min="6657" max="6657" width="3.140625" customWidth="1"/>
    <col min="6913" max="6913" width="3.140625" customWidth="1"/>
    <col min="7169" max="7169" width="3.140625" customWidth="1"/>
    <col min="7425" max="7425" width="3.140625" customWidth="1"/>
    <col min="7681" max="7681" width="3.140625" customWidth="1"/>
    <col min="7937" max="7937" width="3.140625" customWidth="1"/>
    <col min="8193" max="8193" width="3.140625" customWidth="1"/>
    <col min="8449" max="8449" width="3.140625" customWidth="1"/>
    <col min="8705" max="8705" width="3.140625" customWidth="1"/>
    <col min="8961" max="8961" width="3.140625" customWidth="1"/>
    <col min="9217" max="9217" width="3.140625" customWidth="1"/>
    <col min="9473" max="9473" width="3.140625" customWidth="1"/>
    <col min="9729" max="9729" width="3.140625" customWidth="1"/>
    <col min="9985" max="9985" width="3.140625" customWidth="1"/>
    <col min="10241" max="10241" width="3.140625" customWidth="1"/>
    <col min="10497" max="10497" width="3.140625" customWidth="1"/>
    <col min="10753" max="10753" width="3.140625" customWidth="1"/>
    <col min="11009" max="11009" width="3.140625" customWidth="1"/>
    <col min="11265" max="11265" width="3.140625" customWidth="1"/>
    <col min="11521" max="11521" width="3.140625" customWidth="1"/>
    <col min="11777" max="11777" width="3.140625" customWidth="1"/>
    <col min="12033" max="12033" width="3.140625" customWidth="1"/>
    <col min="12289" max="12289" width="3.140625" customWidth="1"/>
    <col min="12545" max="12545" width="3.140625" customWidth="1"/>
    <col min="12801" max="12801" width="3.140625" customWidth="1"/>
    <col min="13057" max="13057" width="3.140625" customWidth="1"/>
    <col min="13313" max="13313" width="3.140625" customWidth="1"/>
    <col min="13569" max="13569" width="3.140625" customWidth="1"/>
    <col min="13825" max="13825" width="3.140625" customWidth="1"/>
    <col min="14081" max="14081" width="3.140625" customWidth="1"/>
    <col min="14337" max="14337" width="3.140625" customWidth="1"/>
    <col min="14593" max="14593" width="3.140625" customWidth="1"/>
    <col min="14849" max="14849" width="3.140625" customWidth="1"/>
    <col min="15105" max="15105" width="3.140625" customWidth="1"/>
    <col min="15361" max="15361" width="3.140625" customWidth="1"/>
    <col min="15617" max="15617" width="3.140625" customWidth="1"/>
    <col min="15873" max="15873" width="3.140625" customWidth="1"/>
    <col min="16129" max="16129" width="3.140625" customWidth="1"/>
  </cols>
  <sheetData>
    <row r="2" spans="2:10" x14ac:dyDescent="0.25">
      <c r="B2" s="7"/>
      <c r="C2" s="7" t="s">
        <v>32</v>
      </c>
      <c r="D2" s="7" t="s">
        <v>33</v>
      </c>
      <c r="E2" s="7" t="s">
        <v>34</v>
      </c>
      <c r="F2" s="7" t="s">
        <v>35</v>
      </c>
    </row>
    <row r="3" spans="2:10" x14ac:dyDescent="0.25">
      <c r="B3" s="8">
        <v>2011</v>
      </c>
      <c r="C3" s="9">
        <v>4.1651917200292196E-2</v>
      </c>
      <c r="D3" s="9">
        <v>3.7602217608822014E-2</v>
      </c>
      <c r="E3" s="9">
        <v>1.8545024037721895E-2</v>
      </c>
      <c r="F3" s="9">
        <v>0.10214812233074526</v>
      </c>
      <c r="H3" s="10"/>
    </row>
    <row r="4" spans="2:10" x14ac:dyDescent="0.25">
      <c r="B4" s="8">
        <v>2012</v>
      </c>
      <c r="C4" s="9">
        <v>0.128</v>
      </c>
      <c r="D4" s="9">
        <v>0.10161599597222462</v>
      </c>
      <c r="E4" s="9">
        <v>0.11277192397689531</v>
      </c>
      <c r="F4" s="9">
        <v>5.189934846558681E-2</v>
      </c>
      <c r="H4" s="11"/>
      <c r="J4" s="11"/>
    </row>
    <row r="5" spans="2:10" x14ac:dyDescent="0.25">
      <c r="B5" s="8">
        <v>2013</v>
      </c>
      <c r="C5" s="9">
        <v>6.5427962512842122E-2</v>
      </c>
      <c r="D5" s="9">
        <v>4.9236691325131254E-2</v>
      </c>
      <c r="E5" s="9">
        <v>1.7999999999999999E-2</v>
      </c>
      <c r="F5" s="9">
        <v>0.1180716003668605</v>
      </c>
    </row>
    <row r="7" spans="2:10" x14ac:dyDescent="0.25">
      <c r="B7" s="8">
        <v>2011</v>
      </c>
      <c r="C7" s="1" t="b">
        <v>0</v>
      </c>
    </row>
    <row r="8" spans="2:10" x14ac:dyDescent="0.25">
      <c r="B8" s="8">
        <v>2012</v>
      </c>
      <c r="C8" s="1" t="b">
        <v>0</v>
      </c>
    </row>
    <row r="10" spans="2:10" x14ac:dyDescent="0.25">
      <c r="B10" s="7"/>
      <c r="C10" s="7" t="s">
        <v>32</v>
      </c>
      <c r="D10" s="7" t="s">
        <v>33</v>
      </c>
      <c r="E10" s="7" t="s">
        <v>34</v>
      </c>
      <c r="F10" s="7" t="s">
        <v>35</v>
      </c>
    </row>
    <row r="11" spans="2:10" x14ac:dyDescent="0.25">
      <c r="B11" s="8">
        <v>2011</v>
      </c>
      <c r="C11" s="9" t="e">
        <f>IF($C$7,C3,NA())</f>
        <v>#N/A</v>
      </c>
      <c r="D11" s="9" t="e">
        <f t="shared" ref="D11:F11" si="0">IF($C$7,D3,NA())</f>
        <v>#N/A</v>
      </c>
      <c r="E11" s="9" t="e">
        <f t="shared" si="0"/>
        <v>#N/A</v>
      </c>
      <c r="F11" s="9" t="e">
        <f t="shared" si="0"/>
        <v>#N/A</v>
      </c>
    </row>
    <row r="12" spans="2:10" x14ac:dyDescent="0.25">
      <c r="B12" s="8">
        <v>2012</v>
      </c>
      <c r="C12" s="9" t="e">
        <f>IF($C$8,C4,NA())</f>
        <v>#N/A</v>
      </c>
      <c r="D12" s="9" t="e">
        <f t="shared" ref="D12:F12" si="1">IF($C$8,D4,NA())</f>
        <v>#N/A</v>
      </c>
      <c r="E12" s="9" t="e">
        <f t="shared" si="1"/>
        <v>#N/A</v>
      </c>
      <c r="F12" s="9" t="e">
        <f t="shared" si="1"/>
        <v>#N/A</v>
      </c>
    </row>
    <row r="13" spans="2:10" x14ac:dyDescent="0.25">
      <c r="B13" s="8">
        <v>2013</v>
      </c>
      <c r="C13" s="9">
        <f>C5</f>
        <v>6.5427962512842122E-2</v>
      </c>
      <c r="D13" s="9">
        <f t="shared" ref="D13:F13" si="2">D5</f>
        <v>4.9236691325131254E-2</v>
      </c>
      <c r="E13" s="9">
        <f t="shared" si="2"/>
        <v>1.7999999999999999E-2</v>
      </c>
      <c r="F13" s="9">
        <f t="shared" si="2"/>
        <v>0.1180716003668605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7" r:id="rId4" name="Check Box 5">
              <controlPr defaultSize="0" autoFill="0" autoLine="0" autoPict="0">
                <anchor moveWithCells="1">
                  <from>
                    <xdr:col>10</xdr:col>
                    <xdr:colOff>285750</xdr:colOff>
                    <xdr:row>2</xdr:row>
                    <xdr:rowOff>161925</xdr:rowOff>
                  </from>
                  <to>
                    <xdr:col>11</xdr:col>
                    <xdr:colOff>485775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5" name="Check Box 6">
              <controlPr defaultSize="0" autoFill="0" autoLine="0" autoPict="0">
                <anchor moveWithCells="1">
                  <from>
                    <xdr:col>11</xdr:col>
                    <xdr:colOff>409575</xdr:colOff>
                    <xdr:row>2</xdr:row>
                    <xdr:rowOff>161925</xdr:rowOff>
                  </from>
                  <to>
                    <xdr:col>13</xdr:col>
                    <xdr:colOff>0</xdr:colOff>
                    <xdr:row>3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0"/>
  <sheetViews>
    <sheetView workbookViewId="0">
      <selection activeCell="B10" sqref="B10"/>
    </sheetView>
  </sheetViews>
  <sheetFormatPr defaultRowHeight="15" x14ac:dyDescent="0.25"/>
  <cols>
    <col min="1" max="1" width="6.85546875" customWidth="1"/>
    <col min="2" max="2" width="8.85546875" bestFit="1" customWidth="1"/>
    <col min="3" max="3" width="18.140625" bestFit="1" customWidth="1"/>
    <col min="4" max="4" width="14" bestFit="1" customWidth="1"/>
    <col min="5" max="5" width="15.140625" bestFit="1" customWidth="1"/>
  </cols>
  <sheetData>
    <row r="1" spans="1:5" x14ac:dyDescent="0.25">
      <c r="A1" s="1"/>
      <c r="B1" s="13" t="s">
        <v>36</v>
      </c>
      <c r="C1" s="13" t="s">
        <v>37</v>
      </c>
      <c r="D1" s="13" t="s">
        <v>39</v>
      </c>
      <c r="E1" s="13" t="s">
        <v>38</v>
      </c>
    </row>
    <row r="2" spans="1:5" x14ac:dyDescent="0.25">
      <c r="A2" s="13">
        <v>2009</v>
      </c>
      <c r="B2" s="2">
        <v>2132</v>
      </c>
      <c r="C2" s="12">
        <v>0.02</v>
      </c>
      <c r="D2" s="12">
        <v>5.3999999999999999E-2</v>
      </c>
      <c r="E2" s="12">
        <v>1.7999999999999999E-2</v>
      </c>
    </row>
    <row r="3" spans="1:5" x14ac:dyDescent="0.25">
      <c r="A3" s="13">
        <v>2010</v>
      </c>
      <c r="B3" s="2">
        <v>2143</v>
      </c>
      <c r="C3" s="12">
        <v>2.1000000000000001E-2</v>
      </c>
      <c r="D3" s="12">
        <v>0.03</v>
      </c>
      <c r="E3" s="12">
        <v>5.0000000000000001E-3</v>
      </c>
    </row>
    <row r="4" spans="1:5" x14ac:dyDescent="0.25">
      <c r="A4" s="13">
        <v>2011</v>
      </c>
      <c r="B4" s="2">
        <v>2345</v>
      </c>
      <c r="C4" s="12">
        <v>2.3E-2</v>
      </c>
      <c r="D4" s="12">
        <v>0.04</v>
      </c>
      <c r="E4" s="12">
        <v>5.0000000000000001E-3</v>
      </c>
    </row>
    <row r="5" spans="1:5" x14ac:dyDescent="0.25">
      <c r="A5" s="13">
        <v>2012</v>
      </c>
      <c r="B5" s="2">
        <v>2547</v>
      </c>
      <c r="C5" s="12">
        <v>7.0000000000000007E-2</v>
      </c>
      <c r="D5" s="12">
        <v>8.5000000000000006E-2</v>
      </c>
      <c r="E5" s="12">
        <v>2E-3</v>
      </c>
    </row>
    <row r="6" spans="1:5" x14ac:dyDescent="0.25">
      <c r="A6" s="13">
        <v>2013</v>
      </c>
      <c r="B6" s="2">
        <v>2765</v>
      </c>
      <c r="C6" s="12">
        <v>0.1</v>
      </c>
      <c r="D6" s="12">
        <v>0.05</v>
      </c>
      <c r="E6" s="12">
        <v>4.0000000000000001E-3</v>
      </c>
    </row>
    <row r="7" spans="1:5" x14ac:dyDescent="0.25">
      <c r="A7" s="13">
        <v>2014</v>
      </c>
      <c r="B7" s="2">
        <v>3012</v>
      </c>
      <c r="C7" s="12">
        <v>0.06</v>
      </c>
      <c r="D7" s="12">
        <v>7.2999999999999995E-2</v>
      </c>
      <c r="E7" s="12">
        <v>2E-3</v>
      </c>
    </row>
    <row r="8" spans="1:5" x14ac:dyDescent="0.25">
      <c r="A8" s="13">
        <v>2015</v>
      </c>
      <c r="B8" s="2">
        <v>3243</v>
      </c>
      <c r="C8" s="12">
        <v>0.05</v>
      </c>
      <c r="D8" s="12">
        <v>5.3999999999999999E-2</v>
      </c>
      <c r="E8" s="12">
        <v>3.0000000000000001E-3</v>
      </c>
    </row>
    <row r="10" spans="1:5" x14ac:dyDescent="0.25">
      <c r="B10">
        <v>3</v>
      </c>
    </row>
    <row r="13" spans="1:5" x14ac:dyDescent="0.25">
      <c r="A13" s="1"/>
      <c r="B13" s="13" t="s">
        <v>36</v>
      </c>
      <c r="C13" s="13" t="str">
        <f>INDEX($C$1:$E$1,B10)</f>
        <v>Return on Asset</v>
      </c>
    </row>
    <row r="14" spans="1:5" x14ac:dyDescent="0.25">
      <c r="A14" s="13">
        <v>2009</v>
      </c>
      <c r="B14" s="2">
        <v>2132</v>
      </c>
      <c r="C14" s="12">
        <f>INDEX($C$2:$E$8,ROWS($B$14:B14),$B$10)</f>
        <v>1.7999999999999999E-2</v>
      </c>
    </row>
    <row r="15" spans="1:5" x14ac:dyDescent="0.25">
      <c r="A15" s="13">
        <v>2010</v>
      </c>
      <c r="B15" s="2">
        <v>2143</v>
      </c>
      <c r="C15" s="12">
        <f>INDEX($C$2:$E$8,ROWS($B$14:B15),$B$10)</f>
        <v>5.0000000000000001E-3</v>
      </c>
    </row>
    <row r="16" spans="1:5" x14ac:dyDescent="0.25">
      <c r="A16" s="13">
        <v>2011</v>
      </c>
      <c r="B16" s="2">
        <v>2345</v>
      </c>
      <c r="C16" s="12">
        <f>INDEX($C$2:$E$8,ROWS($B$14:B16),$B$10)</f>
        <v>5.0000000000000001E-3</v>
      </c>
    </row>
    <row r="17" spans="1:3" x14ac:dyDescent="0.25">
      <c r="A17" s="13">
        <v>2012</v>
      </c>
      <c r="B17" s="2">
        <v>2547</v>
      </c>
      <c r="C17" s="12">
        <f>INDEX($C$2:$E$8,ROWS($B$14:B17),$B$10)</f>
        <v>2E-3</v>
      </c>
    </row>
    <row r="18" spans="1:3" x14ac:dyDescent="0.25">
      <c r="A18" s="13">
        <v>2013</v>
      </c>
      <c r="B18" s="2">
        <v>2765</v>
      </c>
      <c r="C18" s="12">
        <f>INDEX($C$2:$E$8,ROWS($B$14:B18),$B$10)</f>
        <v>4.0000000000000001E-3</v>
      </c>
    </row>
    <row r="19" spans="1:3" x14ac:dyDescent="0.25">
      <c r="A19" s="13">
        <v>2014</v>
      </c>
      <c r="B19" s="2">
        <v>3012</v>
      </c>
      <c r="C19" s="12">
        <f>INDEX($C$2:$E$8,ROWS($B$14:B19),$B$10)</f>
        <v>2E-3</v>
      </c>
    </row>
    <row r="20" spans="1:3" x14ac:dyDescent="0.25">
      <c r="A20" s="13">
        <v>2015</v>
      </c>
      <c r="B20" s="2">
        <v>3243</v>
      </c>
      <c r="C20" s="12">
        <f>INDEX($C$2:$E$8,ROWS($B$14:B20),$B$10)</f>
        <v>3.0000000000000001E-3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8" r:id="rId3" name="Option Button 2">
              <controlPr defaultSize="0" autoFill="0" autoLine="0" autoPict="0">
                <anchor moveWithCells="1">
                  <from>
                    <xdr:col>6</xdr:col>
                    <xdr:colOff>0</xdr:colOff>
                    <xdr:row>3</xdr:row>
                    <xdr:rowOff>0</xdr:rowOff>
                  </from>
                  <to>
                    <xdr:col>7</xdr:col>
                    <xdr:colOff>419100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4" name="Option Button 3">
              <controlPr defaultSize="0" autoFill="0" autoLine="0" autoPict="0">
                <anchor moveWithCells="1">
                  <from>
                    <xdr:col>6</xdr:col>
                    <xdr:colOff>9525</xdr:colOff>
                    <xdr:row>4</xdr:row>
                    <xdr:rowOff>123825</xdr:rowOff>
                  </from>
                  <to>
                    <xdr:col>7</xdr:col>
                    <xdr:colOff>428625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5" name="Option Button 4">
              <controlPr defaultSize="0" autoFill="0" autoLine="0" autoPict="0">
                <anchor moveWithCells="1">
                  <from>
                    <xdr:col>6</xdr:col>
                    <xdr:colOff>28575</xdr:colOff>
                    <xdr:row>6</xdr:row>
                    <xdr:rowOff>95250</xdr:rowOff>
                  </from>
                  <to>
                    <xdr:col>7</xdr:col>
                    <xdr:colOff>447675</xdr:colOff>
                    <xdr:row>7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F17" sqref="F17"/>
    </sheetView>
  </sheetViews>
  <sheetFormatPr defaultRowHeight="15" x14ac:dyDescent="0.25"/>
  <cols>
    <col min="1" max="1" width="6.85546875" customWidth="1"/>
    <col min="2" max="2" width="8.85546875" bestFit="1" customWidth="1"/>
    <col min="3" max="3" width="18.140625" bestFit="1" customWidth="1"/>
    <col min="4" max="4" width="14" bestFit="1" customWidth="1"/>
    <col min="5" max="5" width="15.140625" bestFit="1" customWidth="1"/>
  </cols>
  <sheetData>
    <row r="1" spans="1:5" x14ac:dyDescent="0.25">
      <c r="A1" s="1"/>
      <c r="B1" s="13" t="s">
        <v>36</v>
      </c>
      <c r="C1" s="13" t="s">
        <v>37</v>
      </c>
      <c r="D1" s="13" t="s">
        <v>39</v>
      </c>
      <c r="E1" s="13" t="s">
        <v>38</v>
      </c>
    </row>
    <row r="2" spans="1:5" x14ac:dyDescent="0.25">
      <c r="A2" s="13">
        <v>2009</v>
      </c>
      <c r="B2" s="2">
        <v>2132</v>
      </c>
      <c r="C2" s="12">
        <v>0.02</v>
      </c>
      <c r="D2" s="12">
        <v>5.3999999999999999E-2</v>
      </c>
      <c r="E2" s="12">
        <v>1.7999999999999999E-2</v>
      </c>
    </row>
    <row r="3" spans="1:5" x14ac:dyDescent="0.25">
      <c r="A3" s="13">
        <v>2010</v>
      </c>
      <c r="B3" s="2">
        <v>2143</v>
      </c>
      <c r="C3" s="12">
        <v>2.1000000000000001E-2</v>
      </c>
      <c r="D3" s="12">
        <v>0.03</v>
      </c>
      <c r="E3" s="12">
        <v>5.0000000000000001E-3</v>
      </c>
    </row>
    <row r="4" spans="1:5" x14ac:dyDescent="0.25">
      <c r="A4" s="13">
        <v>2011</v>
      </c>
      <c r="B4" s="2">
        <v>2345</v>
      </c>
      <c r="C4" s="12">
        <v>2.3E-2</v>
      </c>
      <c r="D4" s="12">
        <v>0.04</v>
      </c>
      <c r="E4" s="12">
        <v>5.0000000000000001E-3</v>
      </c>
    </row>
    <row r="5" spans="1:5" x14ac:dyDescent="0.25">
      <c r="A5" s="13">
        <v>2012</v>
      </c>
      <c r="B5" s="2">
        <v>2547</v>
      </c>
      <c r="C5" s="12">
        <v>7.0000000000000007E-2</v>
      </c>
      <c r="D5" s="12">
        <v>8.5000000000000006E-2</v>
      </c>
      <c r="E5" s="12">
        <v>2E-3</v>
      </c>
    </row>
    <row r="6" spans="1:5" x14ac:dyDescent="0.25">
      <c r="A6" s="13">
        <v>2013</v>
      </c>
      <c r="B6" s="2">
        <v>2765</v>
      </c>
      <c r="C6" s="12">
        <v>0.1</v>
      </c>
      <c r="D6" s="12">
        <v>0.05</v>
      </c>
      <c r="E6" s="12">
        <v>4.0000000000000001E-3</v>
      </c>
    </row>
    <row r="7" spans="1:5" x14ac:dyDescent="0.25">
      <c r="A7" s="13">
        <v>2014</v>
      </c>
      <c r="B7" s="2">
        <v>3012</v>
      </c>
      <c r="C7" s="12">
        <v>0.06</v>
      </c>
      <c r="D7" s="12">
        <v>7.2999999999999995E-2</v>
      </c>
      <c r="E7" s="12">
        <v>2E-3</v>
      </c>
    </row>
    <row r="8" spans="1:5" x14ac:dyDescent="0.25">
      <c r="A8" s="13">
        <v>2015</v>
      </c>
      <c r="B8" s="2">
        <v>3243</v>
      </c>
      <c r="C8" s="12">
        <v>0.05</v>
      </c>
      <c r="D8" s="12">
        <v>5.3999999999999999E-2</v>
      </c>
      <c r="E8" s="12">
        <v>3.0000000000000001E-3</v>
      </c>
    </row>
    <row r="9" spans="1:5" ht="6" customHeight="1" x14ac:dyDescent="0.25"/>
    <row r="11" spans="1:5" x14ac:dyDescent="0.25">
      <c r="A11" s="13" t="s">
        <v>37</v>
      </c>
      <c r="D11">
        <v>1</v>
      </c>
      <c r="E11">
        <v>3</v>
      </c>
    </row>
    <row r="12" spans="1:5" x14ac:dyDescent="0.25">
      <c r="A12" s="13" t="s">
        <v>39</v>
      </c>
    </row>
    <row r="13" spans="1:5" x14ac:dyDescent="0.25">
      <c r="A13" s="13" t="s">
        <v>38</v>
      </c>
    </row>
    <row r="15" spans="1:5" x14ac:dyDescent="0.25">
      <c r="A15" s="1"/>
      <c r="B15" s="13" t="s">
        <v>36</v>
      </c>
      <c r="C15" s="13" t="str">
        <f>INDEX($C$1:$E$1,D11)</f>
        <v>Net Income Margin</v>
      </c>
    </row>
    <row r="16" spans="1:5" x14ac:dyDescent="0.25">
      <c r="A16" s="13">
        <v>2009</v>
      </c>
      <c r="B16" s="2">
        <v>2132</v>
      </c>
      <c r="C16" s="12">
        <f>INDEX($C$2:$E$8,ROWS($B$16:B16),$D$11)</f>
        <v>0.02</v>
      </c>
    </row>
    <row r="17" spans="1:3" x14ac:dyDescent="0.25">
      <c r="A17" s="13">
        <v>2010</v>
      </c>
      <c r="B17" s="2">
        <v>2143</v>
      </c>
      <c r="C17" s="12">
        <f>INDEX($C$2:$E$8,ROWS($B$16:B17),$D$11)</f>
        <v>2.1000000000000001E-2</v>
      </c>
    </row>
    <row r="18" spans="1:3" x14ac:dyDescent="0.25">
      <c r="A18" s="13">
        <v>2011</v>
      </c>
      <c r="B18" s="2">
        <v>2345</v>
      </c>
      <c r="C18" s="12">
        <f>INDEX($C$2:$E$8,ROWS($B$16:B18),$D$11)</f>
        <v>2.3E-2</v>
      </c>
    </row>
    <row r="19" spans="1:3" x14ac:dyDescent="0.25">
      <c r="A19" s="13">
        <v>2012</v>
      </c>
      <c r="B19" s="2">
        <v>2547</v>
      </c>
      <c r="C19" s="12">
        <f>INDEX($C$2:$E$8,ROWS($B$16:B19),$D$11)</f>
        <v>7.0000000000000007E-2</v>
      </c>
    </row>
    <row r="20" spans="1:3" x14ac:dyDescent="0.25">
      <c r="A20" s="13">
        <v>2013</v>
      </c>
      <c r="B20" s="2">
        <v>2765</v>
      </c>
      <c r="C20" s="12">
        <f>INDEX($C$2:$E$8,ROWS($B$16:B20),$D$11)</f>
        <v>0.1</v>
      </c>
    </row>
    <row r="21" spans="1:3" x14ac:dyDescent="0.25">
      <c r="A21" s="13">
        <v>2014</v>
      </c>
      <c r="B21" s="2">
        <v>3012</v>
      </c>
      <c r="C21" s="12">
        <f>INDEX($C$2:$E$8,ROWS($B$16:B21),$D$11)</f>
        <v>0.06</v>
      </c>
    </row>
    <row r="22" spans="1:3" x14ac:dyDescent="0.25">
      <c r="A22" s="13">
        <v>2015</v>
      </c>
      <c r="B22" s="2">
        <v>3243</v>
      </c>
      <c r="C22" s="12">
        <f>INDEX($C$2:$E$8,ROWS($B$16:B22),$D$11)</f>
        <v>0.05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2" r:id="rId3" name="Drop Down 2">
              <controlPr defaultSize="0" autoLine="0" autoPict="0">
                <anchor moveWithCells="1">
                  <from>
                    <xdr:col>7</xdr:col>
                    <xdr:colOff>428625</xdr:colOff>
                    <xdr:row>3</xdr:row>
                    <xdr:rowOff>85725</xdr:rowOff>
                  </from>
                  <to>
                    <xdr:col>12</xdr:col>
                    <xdr:colOff>190500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4" name="List Box 3">
              <controlPr defaultSize="0" autoLine="0" autoPict="0">
                <anchor moveWithCells="1">
                  <from>
                    <xdr:col>14</xdr:col>
                    <xdr:colOff>180975</xdr:colOff>
                    <xdr:row>0</xdr:row>
                    <xdr:rowOff>142875</xdr:rowOff>
                  </from>
                  <to>
                    <xdr:col>15</xdr:col>
                    <xdr:colOff>485775</xdr:colOff>
                    <xdr:row>5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Scroll Bar</vt:lpstr>
      <vt:lpstr>Check Box</vt:lpstr>
      <vt:lpstr>Option Button</vt:lpstr>
      <vt:lpstr>Combo Box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2015-03-28T19:58:42Z</dcterms:created>
  <dcterms:modified xsi:type="dcterms:W3CDTF">2015-05-04T15:34:15Z</dcterms:modified>
</cp:coreProperties>
</file>