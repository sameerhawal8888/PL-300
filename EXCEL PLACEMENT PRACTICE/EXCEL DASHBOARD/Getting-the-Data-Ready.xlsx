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mit bansal\Dropbox\TrumpExcel\DashBoard Course\DashBoard Course Lessons\Get The Data Ready\"/>
    </mc:Choice>
  </mc:AlternateContent>
  <bookViews>
    <workbookView xWindow="0" yWindow="0" windowWidth="9570" windowHeight="7680" activeTab="2"/>
  </bookViews>
  <sheets>
    <sheet name="Data" sheetId="4" r:id="rId1"/>
    <sheet name="Analysis" sheetId="7" r:id="rId2"/>
    <sheet name="Presentation" sheetId="8" r:id="rId3"/>
  </sheets>
  <definedNames>
    <definedName name="_xlnm._FilterDatabase" localSheetId="1" hidden="1">Analysis!$C$2:$F$12</definedName>
    <definedName name="_xlnm._FilterDatabase" localSheetId="0" hidden="1">Data!$B$2:$C$12</definedName>
    <definedName name="_xlnm._FilterDatabase" localSheetId="2" hidden="1">Presentation!$B$2:$B$12</definedName>
  </definedNames>
  <calcPr calcId="152511"/>
</workbook>
</file>

<file path=xl/calcChain.xml><?xml version="1.0" encoding="utf-8"?>
<calcChain xmlns="http://schemas.openxmlformats.org/spreadsheetml/2006/main">
  <c r="D4" i="7" l="1"/>
  <c r="D5" i="7"/>
  <c r="D6" i="7"/>
  <c r="D7" i="7"/>
  <c r="D8" i="7"/>
  <c r="A8" i="7" s="1"/>
  <c r="D9" i="7"/>
  <c r="B9" i="8" s="1"/>
  <c r="D10" i="7"/>
  <c r="D11" i="7"/>
  <c r="F11" i="7" s="1"/>
  <c r="D12" i="7"/>
  <c r="F12" i="7" s="1"/>
  <c r="D3" i="7"/>
  <c r="C4" i="7"/>
  <c r="C5" i="7"/>
  <c r="C6" i="7"/>
  <c r="C7" i="7"/>
  <c r="B7" i="8" s="1"/>
  <c r="C8" i="7"/>
  <c r="C9" i="7"/>
  <c r="C10" i="7"/>
  <c r="C11" i="7"/>
  <c r="B11" i="8" s="1"/>
  <c r="C12" i="7"/>
  <c r="C3" i="7"/>
  <c r="B5" i="8"/>
  <c r="B6" i="8"/>
  <c r="B10" i="8"/>
  <c r="B12" i="8"/>
  <c r="G12" i="7"/>
  <c r="E12" i="7"/>
  <c r="A12" i="7"/>
  <c r="G11" i="7"/>
  <c r="G10" i="7"/>
  <c r="F10" i="7"/>
  <c r="E10" i="7"/>
  <c r="A10" i="7"/>
  <c r="G9" i="7"/>
  <c r="F9" i="7"/>
  <c r="E9" i="7"/>
  <c r="G8" i="7"/>
  <c r="F8" i="7"/>
  <c r="E8" i="7"/>
  <c r="G7" i="7"/>
  <c r="F7" i="7"/>
  <c r="G6" i="7"/>
  <c r="F6" i="7"/>
  <c r="E6" i="7"/>
  <c r="A6" i="7"/>
  <c r="G5" i="7"/>
  <c r="F5" i="7"/>
  <c r="E5" i="7"/>
  <c r="A5" i="7"/>
  <c r="F4" i="7"/>
  <c r="A9" i="7" l="1"/>
  <c r="A3" i="7"/>
  <c r="B8" i="8"/>
  <c r="B4" i="8"/>
  <c r="G4" i="7"/>
  <c r="A7" i="7"/>
  <c r="A11" i="7"/>
  <c r="A4" i="7"/>
  <c r="E7" i="7"/>
  <c r="E11" i="7"/>
  <c r="F3" i="7"/>
  <c r="B3" i="8"/>
  <c r="E3" i="7"/>
  <c r="G3" i="7"/>
  <c r="E4" i="7"/>
  <c r="C8" i="4"/>
  <c r="C4" i="4"/>
</calcChain>
</file>

<file path=xl/sharedStrings.xml><?xml version="1.0" encoding="utf-8"?>
<sst xmlns="http://schemas.openxmlformats.org/spreadsheetml/2006/main" count="41" uniqueCount="17">
  <si>
    <t>Country Name</t>
  </si>
  <si>
    <t>China</t>
  </si>
  <si>
    <t>France</t>
  </si>
  <si>
    <t>Germany</t>
  </si>
  <si>
    <t>Italy</t>
  </si>
  <si>
    <t>Malaysia</t>
  </si>
  <si>
    <t>Russian Federation</t>
  </si>
  <si>
    <t>Spain</t>
  </si>
  <si>
    <t>Turkey</t>
  </si>
  <si>
    <t>United Kingdom</t>
  </si>
  <si>
    <t>United States</t>
  </si>
  <si>
    <t>▲▼</t>
  </si>
  <si>
    <t>Symbols</t>
  </si>
  <si>
    <t>Number of Arrivals (in Millions)</t>
  </si>
  <si>
    <t>Custom Number Formatting</t>
  </si>
  <si>
    <t>Formula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</si>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</sst>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▲&quot;0.0%;[Red]&quot;▼&quot;0.0%"/>
  </numFmts>
  <fonts count="6" x14ac:knownFonts="1">
    <font>
      <sz val="10"/>
      <name val="Arial"/>
    </font>
    <font>
      <sz val="9"/>
      <name val="Arial"/>
      <family val="2"/>
    </font>
    <font>
      <b/>
      <i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i/>
      <sz val="10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/>
      <top style="thin">
        <color indexed="62"/>
      </top>
      <bottom style="thin">
        <color indexed="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4">
    <xf numFmtId="0" fontId="0" fillId="0" borderId="0" xfId="0"/>
    <xf numFmtId="49" fontId="1" fillId="0" borderId="1" xfId="0" applyNumberFormat="1" applyFont="1" applyFill="1" applyBorder="1" applyAlignment="1" applyProtection="1">
      <alignment horizontal="left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3" fillId="3" borderId="0" xfId="0" applyFont="1" applyFill="1"/>
    <xf numFmtId="0" fontId="3" fillId="0" borderId="0" xfId="0" applyFont="1"/>
    <xf numFmtId="0" fontId="5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3" fontId="1" fillId="0" borderId="1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164" fontId="1" fillId="0" borderId="2" xfId="1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164" fontId="1" fillId="0" borderId="3" xfId="1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Continuous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9933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808080"/>
      <rgbColor rgb="00A9A9A9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Number of Arrivals (2015)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,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multiLvlStrRef>
              <c:f>Analysis!$A$3:$B$12</c:f>
              <c:multiLvlStrCache>
                <c:ptCount val="10"/>
                <c:lvl>
                  <c:pt idx="0">
                    <c:v>France</c:v>
                  </c:pt>
                  <c:pt idx="1">
                    <c:v>United States</c:v>
                  </c:pt>
                  <c:pt idx="2">
                    <c:v>China</c:v>
                  </c:pt>
                  <c:pt idx="3">
                    <c:v>Spain</c:v>
                  </c:pt>
                  <c:pt idx="4">
                    <c:v>Italy</c:v>
                  </c:pt>
                  <c:pt idx="5">
                    <c:v>Turkey</c:v>
                  </c:pt>
                  <c:pt idx="6">
                    <c:v>Germany</c:v>
                  </c:pt>
                  <c:pt idx="7">
                    <c:v>United Kingdom</c:v>
                  </c:pt>
                  <c:pt idx="8">
                    <c:v>Russian Federation</c:v>
                  </c:pt>
                  <c:pt idx="9">
                    <c:v>Malaysia</c:v>
                  </c:pt>
                </c:lvl>
                <c:lvl>
                  <c:pt idx="0">
                    <c:v>▼</c:v>
                  </c:pt>
                  <c:pt idx="1">
                    <c:v>▼</c:v>
                  </c:pt>
                  <c:pt idx="2">
                    <c:v>▲</c:v>
                  </c:pt>
                  <c:pt idx="3">
                    <c:v>▲</c:v>
                  </c:pt>
                  <c:pt idx="4">
                    <c:v>▲</c:v>
                  </c:pt>
                  <c:pt idx="5">
                    <c:v>▼</c:v>
                  </c:pt>
                  <c:pt idx="6">
                    <c:v>▲</c:v>
                  </c:pt>
                  <c:pt idx="7">
                    <c:v>▼</c:v>
                  </c:pt>
                  <c:pt idx="8">
                    <c:v>▲</c:v>
                  </c:pt>
                  <c:pt idx="9">
                    <c:v>▲</c:v>
                  </c:pt>
                </c:lvl>
              </c:multiLvlStrCache>
            </c:multiLvlStrRef>
          </c:cat>
          <c:val>
            <c:numRef>
              <c:f>Analysis!$D$3:$D$12</c:f>
              <c:numCache>
                <c:formatCode>#,##0</c:formatCode>
                <c:ptCount val="10"/>
                <c:pt idx="0">
                  <c:v>73013000</c:v>
                </c:pt>
                <c:pt idx="1">
                  <c:v>62411000</c:v>
                </c:pt>
                <c:pt idx="2">
                  <c:v>57725000</c:v>
                </c:pt>
                <c:pt idx="3">
                  <c:v>57701000</c:v>
                </c:pt>
                <c:pt idx="4">
                  <c:v>46360000</c:v>
                </c:pt>
                <c:pt idx="5">
                  <c:v>34554000</c:v>
                </c:pt>
                <c:pt idx="6">
                  <c:v>30411000</c:v>
                </c:pt>
                <c:pt idx="7">
                  <c:v>29282000</c:v>
                </c:pt>
                <c:pt idx="8">
                  <c:v>28177000</c:v>
                </c:pt>
                <c:pt idx="9">
                  <c:v>25033000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200280"/>
        <c:axId val="344028648"/>
      </c:barChart>
      <c:catAx>
        <c:axId val="394200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028648"/>
        <c:crosses val="autoZero"/>
        <c:auto val="1"/>
        <c:lblAlgn val="ctr"/>
        <c:lblOffset val="100"/>
        <c:noMultiLvlLbl val="0"/>
      </c:catAx>
      <c:valAx>
        <c:axId val="34402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200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0</xdr:row>
      <xdr:rowOff>157162</xdr:rowOff>
    </xdr:from>
    <xdr:to>
      <xdr:col>12</xdr:col>
      <xdr:colOff>419101</xdr:colOff>
      <xdr:row>14</xdr:row>
      <xdr:rowOff>119062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showGridLines="0" workbookViewId="0">
      <selection activeCell="A3" sqref="A3"/>
    </sheetView>
  </sheetViews>
  <sheetFormatPr defaultRowHeight="12.75" x14ac:dyDescent="0.2"/>
  <cols>
    <col min="1" max="1" width="16.7109375" bestFit="1" customWidth="1"/>
    <col min="2" max="2" width="15.85546875" bestFit="1" customWidth="1"/>
    <col min="3" max="3" width="14" customWidth="1"/>
  </cols>
  <sheetData>
    <row r="1" spans="1:3" ht="20.25" customHeight="1" x14ac:dyDescent="0.2">
      <c r="A1" s="5" t="s">
        <v>13</v>
      </c>
      <c r="B1" s="6"/>
      <c r="C1" s="6"/>
    </row>
    <row r="2" spans="1:3" ht="15.95" customHeight="1" x14ac:dyDescent="0.2">
      <c r="A2" s="2" t="s">
        <v>0</v>
      </c>
      <c r="B2" s="2">
        <v>2014</v>
      </c>
      <c r="C2" s="2">
        <v>2015</v>
      </c>
    </row>
    <row r="3" spans="1:3" ht="15.95" customHeight="1" x14ac:dyDescent="0.2">
      <c r="A3" s="1" t="s">
        <v>2</v>
      </c>
      <c r="B3" s="7">
        <v>81550000</v>
      </c>
      <c r="C3" s="7">
        <v>73013000</v>
      </c>
    </row>
    <row r="4" spans="1:3" ht="15.95" customHeight="1" x14ac:dyDescent="0.2">
      <c r="A4" s="1" t="s">
        <v>10</v>
      </c>
      <c r="B4" s="7">
        <v>62711000</v>
      </c>
      <c r="C4" s="7">
        <f>B4-300000</f>
        <v>62411000</v>
      </c>
    </row>
    <row r="5" spans="1:3" ht="15.95" customHeight="1" x14ac:dyDescent="0.2">
      <c r="A5" s="1" t="s">
        <v>1</v>
      </c>
      <c r="B5" s="7">
        <v>57581000</v>
      </c>
      <c r="C5" s="7">
        <v>57725000</v>
      </c>
    </row>
    <row r="6" spans="1:3" ht="15.95" customHeight="1" x14ac:dyDescent="0.2">
      <c r="A6" s="1" t="s">
        <v>7</v>
      </c>
      <c r="B6" s="7">
        <v>56177000</v>
      </c>
      <c r="C6" s="7">
        <v>57701000</v>
      </c>
    </row>
    <row r="7" spans="1:3" ht="15.95" customHeight="1" x14ac:dyDescent="0.2">
      <c r="A7" s="1" t="s">
        <v>4</v>
      </c>
      <c r="B7" s="7">
        <v>46119000</v>
      </c>
      <c r="C7" s="7">
        <v>46360000</v>
      </c>
    </row>
    <row r="8" spans="1:3" ht="15.95" customHeight="1" x14ac:dyDescent="0.2">
      <c r="A8" s="1" t="s">
        <v>8</v>
      </c>
      <c r="B8" s="7">
        <v>34654000</v>
      </c>
      <c r="C8" s="7">
        <f>B8-100000</f>
        <v>34554000</v>
      </c>
    </row>
    <row r="9" spans="1:3" ht="15.95" customHeight="1" x14ac:dyDescent="0.2">
      <c r="A9" s="1" t="s">
        <v>3</v>
      </c>
      <c r="B9" s="7">
        <v>28374000</v>
      </c>
      <c r="C9" s="7">
        <v>30411000</v>
      </c>
    </row>
    <row r="10" spans="1:3" ht="15.95" customHeight="1" x14ac:dyDescent="0.2">
      <c r="A10" s="1" t="s">
        <v>9</v>
      </c>
      <c r="B10" s="7">
        <v>29306000</v>
      </c>
      <c r="C10" s="7">
        <v>29282000</v>
      </c>
    </row>
    <row r="11" spans="1:3" ht="15.95" customHeight="1" x14ac:dyDescent="0.2">
      <c r="A11" s="1" t="s">
        <v>6</v>
      </c>
      <c r="B11" s="7">
        <v>24932000</v>
      </c>
      <c r="C11" s="7">
        <v>28177000</v>
      </c>
    </row>
    <row r="12" spans="1:3" ht="15.95" customHeight="1" x14ac:dyDescent="0.2">
      <c r="A12" s="1" t="s">
        <v>5</v>
      </c>
      <c r="B12" s="7">
        <v>24714000</v>
      </c>
      <c r="C12" s="7">
        <v>25033000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showGridLines="0" workbookViewId="0">
      <selection activeCell="G3" sqref="G3"/>
    </sheetView>
  </sheetViews>
  <sheetFormatPr defaultRowHeight="12.75" x14ac:dyDescent="0.2"/>
  <cols>
    <col min="2" max="2" width="16.7109375" bestFit="1" customWidth="1"/>
    <col min="3" max="3" width="15.85546875" bestFit="1" customWidth="1"/>
    <col min="4" max="4" width="14" customWidth="1"/>
    <col min="5" max="5" width="24.7109375" bestFit="1" customWidth="1"/>
    <col min="6" max="6" width="12.28515625" customWidth="1"/>
  </cols>
  <sheetData>
    <row r="1" spans="1:7" ht="20.25" customHeight="1" x14ac:dyDescent="0.2">
      <c r="B1" s="5" t="s">
        <v>13</v>
      </c>
      <c r="C1" s="6"/>
      <c r="D1" s="6"/>
    </row>
    <row r="2" spans="1:7" ht="15.95" customHeight="1" x14ac:dyDescent="0.2">
      <c r="B2" s="2" t="s">
        <v>0</v>
      </c>
      <c r="C2" s="2">
        <v>2014</v>
      </c>
      <c r="D2" s="2">
        <v>2015</v>
      </c>
      <c r="E2" s="8" t="s">
        <v>14</v>
      </c>
      <c r="F2" s="2" t="s">
        <v>15</v>
      </c>
    </row>
    <row r="3" spans="1:7" ht="15.95" customHeight="1" x14ac:dyDescent="0.2">
      <c r="A3" t="str">
        <f>IF((D3-C3)/C3&gt;0,"▲","▼")</f>
        <v>▼</v>
      </c>
      <c r="B3" s="1" t="s">
        <v>2</v>
      </c>
      <c r="C3" s="7">
        <f>Data!B3</f>
        <v>81550000</v>
      </c>
      <c r="D3" s="7">
        <f>Data!C3</f>
        <v>73013000</v>
      </c>
      <c r="E3" s="9">
        <f>(D3-C3)/C3</f>
        <v>-0.10468424279583077</v>
      </c>
      <c r="F3" s="7" t="str">
        <f>IF((D3-C3)/C3&gt;0,"▲","▼")&amp;TEXT((D3-C3)/C3,"0.0%")</f>
        <v>▼-10.5%</v>
      </c>
      <c r="G3" s="4" t="str">
        <f>IF((D3-C3)/C3&gt;0,"▲","▼")&amp;TEXT(D3,"0.0,,")</f>
        <v>▼73.0</v>
      </c>
    </row>
    <row r="4" spans="1:7" ht="15.95" customHeight="1" x14ac:dyDescent="0.2">
      <c r="A4" t="str">
        <f t="shared" ref="A4:A12" si="0">IF((D4-C4)/C4&gt;0,"▲","▼")</f>
        <v>▼</v>
      </c>
      <c r="B4" s="1" t="s">
        <v>10</v>
      </c>
      <c r="C4" s="7">
        <f>Data!B4</f>
        <v>62711000</v>
      </c>
      <c r="D4" s="7">
        <f>Data!C4</f>
        <v>62411000</v>
      </c>
      <c r="E4" s="9">
        <f t="shared" ref="E4:E12" si="1">(D4-C4)/C4</f>
        <v>-4.7838497233340244E-3</v>
      </c>
      <c r="F4" s="7" t="str">
        <f t="shared" ref="F4:F12" si="2">IF((D4-C4)/C4&gt;0,"▲","▼")&amp;TEXT((D4-C4)/C4,"0.0%")</f>
        <v>▼-0.5%</v>
      </c>
      <c r="G4" s="4" t="str">
        <f t="shared" ref="G4:G12" si="3">IF((D4-C4)/C4&gt;0,"▲","▼")&amp;TEXT(D4,"0.0,,")</f>
        <v>▼62.4</v>
      </c>
    </row>
    <row r="5" spans="1:7" ht="15.95" customHeight="1" x14ac:dyDescent="0.2">
      <c r="A5" t="str">
        <f t="shared" si="0"/>
        <v>▲</v>
      </c>
      <c r="B5" s="1" t="s">
        <v>1</v>
      </c>
      <c r="C5" s="7">
        <f>Data!B5</f>
        <v>57581000</v>
      </c>
      <c r="D5" s="7">
        <f>Data!C5</f>
        <v>57725000</v>
      </c>
      <c r="E5" s="9">
        <f t="shared" si="1"/>
        <v>2.500824924888418E-3</v>
      </c>
      <c r="F5" s="7" t="str">
        <f t="shared" si="2"/>
        <v>▲0.3%</v>
      </c>
      <c r="G5" s="4" t="str">
        <f t="shared" si="3"/>
        <v>▲57.7</v>
      </c>
    </row>
    <row r="6" spans="1:7" ht="15.95" customHeight="1" x14ac:dyDescent="0.2">
      <c r="A6" t="str">
        <f t="shared" si="0"/>
        <v>▲</v>
      </c>
      <c r="B6" s="1" t="s">
        <v>7</v>
      </c>
      <c r="C6" s="7">
        <f>Data!B6</f>
        <v>56177000</v>
      </c>
      <c r="D6" s="7">
        <f>Data!C6</f>
        <v>57701000</v>
      </c>
      <c r="E6" s="9">
        <f t="shared" si="1"/>
        <v>2.7128540149883404E-2</v>
      </c>
      <c r="F6" s="7" t="str">
        <f t="shared" si="2"/>
        <v>▲2.7%</v>
      </c>
      <c r="G6" s="4" t="str">
        <f t="shared" si="3"/>
        <v>▲57.7</v>
      </c>
    </row>
    <row r="7" spans="1:7" ht="15.95" customHeight="1" x14ac:dyDescent="0.2">
      <c r="A7" t="str">
        <f t="shared" si="0"/>
        <v>▲</v>
      </c>
      <c r="B7" s="1" t="s">
        <v>4</v>
      </c>
      <c r="C7" s="7">
        <f>Data!B7</f>
        <v>46119000</v>
      </c>
      <c r="D7" s="7">
        <f>Data!C7</f>
        <v>46360000</v>
      </c>
      <c r="E7" s="9">
        <f t="shared" si="1"/>
        <v>5.2256120037294821E-3</v>
      </c>
      <c r="F7" s="7" t="str">
        <f t="shared" si="2"/>
        <v>▲0.5%</v>
      </c>
      <c r="G7" s="4" t="str">
        <f t="shared" si="3"/>
        <v>▲46.4</v>
      </c>
    </row>
    <row r="8" spans="1:7" ht="15.95" customHeight="1" x14ac:dyDescent="0.2">
      <c r="A8" t="str">
        <f t="shared" si="0"/>
        <v>▼</v>
      </c>
      <c r="B8" s="1" t="s">
        <v>8</v>
      </c>
      <c r="C8" s="7">
        <f>Data!B8</f>
        <v>34654000</v>
      </c>
      <c r="D8" s="7">
        <f>Data!C8</f>
        <v>34554000</v>
      </c>
      <c r="E8" s="9">
        <f t="shared" si="1"/>
        <v>-2.8856697639522131E-3</v>
      </c>
      <c r="F8" s="7" t="str">
        <f t="shared" si="2"/>
        <v>▼-0.3%</v>
      </c>
      <c r="G8" s="4" t="str">
        <f t="shared" si="3"/>
        <v>▼34.6</v>
      </c>
    </row>
    <row r="9" spans="1:7" ht="15.95" customHeight="1" x14ac:dyDescent="0.2">
      <c r="A9" t="str">
        <f t="shared" si="0"/>
        <v>▲</v>
      </c>
      <c r="B9" s="1" t="s">
        <v>3</v>
      </c>
      <c r="C9" s="7">
        <f>Data!B9</f>
        <v>28374000</v>
      </c>
      <c r="D9" s="7">
        <f>Data!C9</f>
        <v>30411000</v>
      </c>
      <c r="E9" s="9">
        <f t="shared" si="1"/>
        <v>7.1791076337492071E-2</v>
      </c>
      <c r="F9" s="7" t="str">
        <f t="shared" si="2"/>
        <v>▲7.2%</v>
      </c>
      <c r="G9" s="4" t="str">
        <f t="shared" si="3"/>
        <v>▲30.4</v>
      </c>
    </row>
    <row r="10" spans="1:7" ht="15.95" customHeight="1" x14ac:dyDescent="0.2">
      <c r="A10" t="str">
        <f t="shared" si="0"/>
        <v>▼</v>
      </c>
      <c r="B10" s="1" t="s">
        <v>9</v>
      </c>
      <c r="C10" s="7">
        <f>Data!B10</f>
        <v>29306000</v>
      </c>
      <c r="D10" s="7">
        <f>Data!C10</f>
        <v>29282000</v>
      </c>
      <c r="E10" s="9">
        <f t="shared" si="1"/>
        <v>-8.1894492595372965E-4</v>
      </c>
      <c r="F10" s="7" t="str">
        <f t="shared" si="2"/>
        <v>▼-0.1%</v>
      </c>
      <c r="G10" s="4" t="str">
        <f t="shared" si="3"/>
        <v>▼29.3</v>
      </c>
    </row>
    <row r="11" spans="1:7" ht="15.95" customHeight="1" x14ac:dyDescent="0.2">
      <c r="A11" t="str">
        <f t="shared" si="0"/>
        <v>▲</v>
      </c>
      <c r="B11" s="1" t="s">
        <v>6</v>
      </c>
      <c r="C11" s="7">
        <f>Data!B11</f>
        <v>24932000</v>
      </c>
      <c r="D11" s="7">
        <f>Data!C11</f>
        <v>28177000</v>
      </c>
      <c r="E11" s="9">
        <f t="shared" si="1"/>
        <v>0.13015401893149367</v>
      </c>
      <c r="F11" s="7" t="str">
        <f t="shared" si="2"/>
        <v>▲13.0%</v>
      </c>
      <c r="G11" s="4" t="str">
        <f t="shared" si="3"/>
        <v>▲28.2</v>
      </c>
    </row>
    <row r="12" spans="1:7" ht="15.95" customHeight="1" x14ac:dyDescent="0.2">
      <c r="A12" t="str">
        <f t="shared" si="0"/>
        <v>▲</v>
      </c>
      <c r="B12" s="1" t="s">
        <v>5</v>
      </c>
      <c r="C12" s="7">
        <f>Data!B12</f>
        <v>24714000</v>
      </c>
      <c r="D12" s="7">
        <f>Data!C12</f>
        <v>25033000</v>
      </c>
      <c r="E12" s="9">
        <f t="shared" si="1"/>
        <v>1.2907663672412398E-2</v>
      </c>
      <c r="F12" s="7" t="str">
        <f t="shared" si="2"/>
        <v>▲1.3%</v>
      </c>
      <c r="G12" s="4" t="str">
        <f t="shared" si="3"/>
        <v>▲25.0</v>
      </c>
    </row>
    <row r="17" spans="2:3" x14ac:dyDescent="0.2">
      <c r="B17" s="3" t="s">
        <v>12</v>
      </c>
      <c r="C17" s="3" t="s">
        <v>11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showGridLines="0" tabSelected="1" workbookViewId="0">
      <selection activeCell="B3" sqref="B3:B12"/>
    </sheetView>
  </sheetViews>
  <sheetFormatPr defaultRowHeight="12.75" x14ac:dyDescent="0.2"/>
  <cols>
    <col min="1" max="1" width="17.7109375" customWidth="1"/>
    <col min="2" max="2" width="16.140625" customWidth="1"/>
  </cols>
  <sheetData>
    <row r="1" spans="1:2" ht="20.25" customHeight="1" x14ac:dyDescent="0.2">
      <c r="A1" s="5" t="s">
        <v>13</v>
      </c>
      <c r="B1" s="13"/>
    </row>
    <row r="2" spans="1:2" ht="15.95" customHeight="1" x14ac:dyDescent="0.2">
      <c r="A2" s="10" t="s">
        <v>0</v>
      </c>
      <c r="B2" s="10" t="s">
        <v>16</v>
      </c>
    </row>
    <row r="3" spans="1:2" ht="15.95" customHeight="1" x14ac:dyDescent="0.2">
      <c r="A3" s="11" t="s">
        <v>2</v>
      </c>
      <c r="B3" s="12">
        <f>(Analysis!D3-Analysis!C3)/Analysis!C3</f>
        <v>-0.10468424279583077</v>
      </c>
    </row>
    <row r="4" spans="1:2" ht="15.95" customHeight="1" x14ac:dyDescent="0.2">
      <c r="A4" s="11" t="s">
        <v>10</v>
      </c>
      <c r="B4" s="12">
        <f>(Analysis!D4-Analysis!C4)/Analysis!C4</f>
        <v>-4.7838497233340244E-3</v>
      </c>
    </row>
    <row r="5" spans="1:2" ht="15.95" customHeight="1" x14ac:dyDescent="0.2">
      <c r="A5" s="11" t="s">
        <v>1</v>
      </c>
      <c r="B5" s="12">
        <f>(Analysis!D5-Analysis!C5)/Analysis!C5</f>
        <v>2.500824924888418E-3</v>
      </c>
    </row>
    <row r="6" spans="1:2" ht="15.95" customHeight="1" x14ac:dyDescent="0.2">
      <c r="A6" s="11" t="s">
        <v>7</v>
      </c>
      <c r="B6" s="12">
        <f>(Analysis!D6-Analysis!C6)/Analysis!C6</f>
        <v>2.7128540149883404E-2</v>
      </c>
    </row>
    <row r="7" spans="1:2" ht="15.95" customHeight="1" x14ac:dyDescent="0.2">
      <c r="A7" s="11" t="s">
        <v>4</v>
      </c>
      <c r="B7" s="12">
        <f>(Analysis!D7-Analysis!C7)/Analysis!C7</f>
        <v>5.2256120037294821E-3</v>
      </c>
    </row>
    <row r="8" spans="1:2" ht="15.95" customHeight="1" x14ac:dyDescent="0.2">
      <c r="A8" s="11" t="s">
        <v>8</v>
      </c>
      <c r="B8" s="12">
        <f>(Analysis!D8-Analysis!C8)/Analysis!C8</f>
        <v>-2.8856697639522131E-3</v>
      </c>
    </row>
    <row r="9" spans="1:2" ht="15.95" customHeight="1" x14ac:dyDescent="0.2">
      <c r="A9" s="11" t="s">
        <v>3</v>
      </c>
      <c r="B9" s="12">
        <f>(Analysis!D9-Analysis!C9)/Analysis!C9</f>
        <v>7.1791076337492071E-2</v>
      </c>
    </row>
    <row r="10" spans="1:2" ht="15.95" customHeight="1" x14ac:dyDescent="0.2">
      <c r="A10" s="11" t="s">
        <v>9</v>
      </c>
      <c r="B10" s="12">
        <f>(Analysis!D10-Analysis!C10)/Analysis!C10</f>
        <v>-8.1894492595372965E-4</v>
      </c>
    </row>
    <row r="11" spans="1:2" ht="15.95" customHeight="1" x14ac:dyDescent="0.2">
      <c r="A11" s="11" t="s">
        <v>6</v>
      </c>
      <c r="B11" s="12">
        <f>(Analysis!D11-Analysis!C11)/Analysis!C11</f>
        <v>0.13015401893149367</v>
      </c>
    </row>
    <row r="12" spans="1:2" ht="15.95" customHeight="1" x14ac:dyDescent="0.2">
      <c r="A12" s="11" t="s">
        <v>5</v>
      </c>
      <c r="B12" s="12">
        <f>(Analysis!D12-Analysis!C12)/Analysis!C12</f>
        <v>1.2907663672412398E-2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Analysis</vt:lpstr>
      <vt:lpstr>Presentation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2015-03-23T02:42:42Z</dcterms:created>
  <dcterms:modified xsi:type="dcterms:W3CDTF">2015-03-28T19:31:58Z</dcterms:modified>
</cp:coreProperties>
</file>